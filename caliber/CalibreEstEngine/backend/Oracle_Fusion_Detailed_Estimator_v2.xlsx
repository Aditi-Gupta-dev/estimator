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Config Estimator" sheetId="3" state="visible" r:id="rId5"/>
    <sheet name="Custom Estimator" sheetId="4" state="visible" r:id="rId6"/>
    <sheet name="Data Migration Est." sheetId="5" state="visible" r:id="rId7"/>
    <sheet name="SDLC Phase View" sheetId="6" state="visible" r:id="rId8"/>
    <sheet name="Role &amp; FTE Summary" sheetId="7" state="visible" r:id="rId9"/>
    <sheet name="Cost Summary"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<sst xmlns="http://schemas.openxmlformats.org/spreadsheetml/2006/main" count="989" uniqueCount="488">
  <si>
    <t xml:space="preserve">ORACLE FUSION CLOUD — DETAILED IMPLEMENTATION ESTIMATOR</t>
  </si>
  <si>
    <t xml:space="preserve">Bottom-Up Effort Estimation: Configuration · Customisation · Data Migration · SDLC Phase View</t>
  </si>
  <si>
    <t xml:space="preserve">  ▶  ESTIMATE TYPE SELECTOR</t>
  </si>
  <si>
    <t xml:space="preserve">SELECT ESTIMATE TYPE →   Enter  'H'  for High-Level   |   'D'  for Detailed
H = Use the Oracle Fusion Implementation Estimator (separate workbook — module-level, benchmark-driven)
D = Use this workbook — bottom-up, activity-level breakdown by Config / Customisation / Data Migration + UT</t>
  </si>
  <si>
    <t xml:space="preserve">Estimate Type (H / D)</t>
  </si>
  <si>
    <t xml:space="preserve">D</t>
  </si>
  <si>
    <t xml:space="preserve">→ Routing</t>
  </si>
  <si>
    <t xml:space="preserve">  PROJECT METADATA</t>
  </si>
  <si>
    <t xml:space="preserve">Client / Engagement</t>
  </si>
  <si>
    <t xml:space="preserve">&lt;&lt;Enter Name&gt;&gt;</t>
  </si>
  <si>
    <t xml:space="preserve">Oracle Modules in Scope</t>
  </si>
  <si>
    <t xml:space="preserve">&lt;&lt;e.g. HCM, ERP, SCM, EPM&gt;&gt;</t>
  </si>
  <si>
    <t xml:space="preserve">No. of Legal Entities</t>
  </si>
  <si>
    <t xml:space="preserve">Industry Vertical</t>
  </si>
  <si>
    <t xml:space="preserve">&lt;&lt;e.g. Manufacturing&gt;&gt;</t>
  </si>
  <si>
    <t xml:space="preserve">Estimation Basis</t>
  </si>
  <si>
    <t xml:space="preserve">Bottom-Up Detailed (Activity Level)</t>
  </si>
  <si>
    <t xml:space="preserve">Prepared By</t>
  </si>
  <si>
    <t xml:space="preserve">&lt;&lt;Name&gt;&gt;</t>
  </si>
  <si>
    <t xml:space="preserve">Date</t>
  </si>
  <si>
    <t xml:space="preserve">&lt;&lt;DD-MMM-YYYY&gt;&gt;</t>
  </si>
  <si>
    <t xml:space="preserve">Version</t>
  </si>
  <si>
    <t xml:space="preserve">v1.0</t>
  </si>
  <si>
    <t xml:space="preserve">  WORKBOOK TAB GUIDE</t>
  </si>
  <si>
    <t xml:space="preserve">Cover</t>
  </si>
  <si>
    <t xml:space="preserve">This sheet — project metadata + estimate type selector</t>
  </si>
  <si>
    <t xml:space="preserve">Input</t>
  </si>
  <si>
    <t xml:space="preserve">Assumptions</t>
  </si>
  <si>
    <t xml:space="preserve">Global levers: rates, working days, contingency, UT ratios</t>
  </si>
  <si>
    <t xml:space="preserve">Config Estimator</t>
  </si>
  <si>
    <t xml:space="preserve">Bottom-up config effort: task × complexity × volume per module</t>
  </si>
  <si>
    <t xml:space="preserve">Input+Calc</t>
  </si>
  <si>
    <t xml:space="preserve">Custom Estimator</t>
  </si>
  <si>
    <t xml:space="preserve">CEMLI / extension effort: object × type × Dev + UT days</t>
  </si>
  <si>
    <t xml:space="preserve">Data Migration Est.</t>
  </si>
  <si>
    <t xml:space="preserve">Migration object effort: extract + cleanse + load + UT</t>
  </si>
  <si>
    <t xml:space="preserve">SDLC Phase View</t>
  </si>
  <si>
    <t xml:space="preserve">Cross-pillar effort rolled up by SDLC phase across all three streams</t>
  </si>
  <si>
    <t xml:space="preserve">Output</t>
  </si>
  <si>
    <t xml:space="preserve">Role &amp; FTE Summary</t>
  </si>
  <si>
    <t xml:space="preserve">Effort by role, FTE loading, peak headcount</t>
  </si>
  <si>
    <t xml:space="preserve">Cost Summary</t>
  </si>
  <si>
    <t xml:space="preserve">Total cost = effort × blended rates + contingency</t>
  </si>
  <si>
    <t xml:space="preserve">GLOBAL ASSUMPTIONS &amp; RATE CARD</t>
  </si>
  <si>
    <t xml:space="preserve">All amber cells are inputs. Change here; all estimator sheets auto-update.</t>
  </si>
  <si>
    <t xml:space="preserve">A.  WORKING CALENDAR &amp; CONTINGENCY</t>
  </si>
  <si>
    <t xml:space="preserve">Parameter</t>
  </si>
  <si>
    <t xml:space="preserve">Value</t>
  </si>
  <si>
    <t xml:space="preserve">Unit</t>
  </si>
  <si>
    <t xml:space="preserve">Min</t>
  </si>
  <si>
    <t xml:space="preserve">Max</t>
  </si>
  <si>
    <t xml:space="preserve">Note</t>
  </si>
  <si>
    <t xml:space="preserve">Working Hours per Day</t>
  </si>
  <si>
    <t xml:space="preserve">hrs</t>
  </si>
  <si>
    <t xml:space="preserve">Standard billing day</t>
  </si>
  <si>
    <t xml:space="preserve">Working Days per Month</t>
  </si>
  <si>
    <t xml:space="preserve">days</t>
  </si>
  <si>
    <t xml:space="preserve">Adjust for regional holidays</t>
  </si>
  <si>
    <t xml:space="preserve">Contingency %</t>
  </si>
  <si>
    <t xml:space="preserve">%</t>
  </si>
  <si>
    <t xml:space="preserve">PMI / Oracle programme standard</t>
  </si>
  <si>
    <t xml:space="preserve">Management Reserve %</t>
  </si>
  <si>
    <t xml:space="preserve">Programme buffer — advisory</t>
  </si>
  <si>
    <t xml:space="preserve">Onshore %</t>
  </si>
  <si>
    <t xml:space="preserve">Delivery model split</t>
  </si>
  <si>
    <t xml:space="preserve">Offshore %</t>
  </si>
  <si>
    <t xml:space="preserve">Should sum to 100 with Onshore</t>
  </si>
  <si>
    <t xml:space="preserve">UT % of Dev Effort (Config)</t>
  </si>
  <si>
    <t xml:space="preserve">Unit test as % of config build effort</t>
  </si>
  <si>
    <t xml:space="preserve">UT % of Dev Effort (Custom)</t>
  </si>
  <si>
    <t xml:space="preserve">Unit test as % of CEMLI dev effort</t>
  </si>
  <si>
    <t xml:space="preserve">UT % of Dev Effort (DataMig)</t>
  </si>
  <si>
    <t xml:space="preserve">Reconciliation/UT as % of migration effort</t>
  </si>
  <si>
    <t xml:space="preserve">Peer Review % (Custom only)</t>
  </si>
  <si>
    <t xml:space="preserve">Code review overhead on custom dev</t>
  </si>
  <si>
    <t xml:space="preserve">B.  RATE CARD — BLENDED DAILY RATES (USD)</t>
  </si>
  <si>
    <t xml:space="preserve">Role / Band</t>
  </si>
  <si>
    <t xml:space="preserve">Onshore
$/day</t>
  </si>
  <si>
    <t xml:space="preserve">Offshore
$/day</t>
  </si>
  <si>
    <t xml:space="preserve">Blended
$/day</t>
  </si>
  <si>
    <t xml:space="preserve">Level</t>
  </si>
  <si>
    <t xml:space="preserve">Typical Engagement %</t>
  </si>
  <si>
    <t xml:space="preserve">Programme Director</t>
  </si>
  <si>
    <t xml:space="preserve">Partner/Director</t>
  </si>
  <si>
    <t xml:space="preserve">3%</t>
  </si>
  <si>
    <t xml:space="preserve">Solution Architect</t>
  </si>
  <si>
    <t xml:space="preserve">Senior Manager</t>
  </si>
  <si>
    <t xml:space="preserve">5%</t>
  </si>
  <si>
    <t xml:space="preserve">Functional Lead (per module)</t>
  </si>
  <si>
    <t xml:space="preserve">12%</t>
  </si>
  <si>
    <t xml:space="preserve">Technical / Integration Lead</t>
  </si>
  <si>
    <t xml:space="preserve">8%</t>
  </si>
  <si>
    <t xml:space="preserve">Functional Consultant Sr.</t>
  </si>
  <si>
    <t xml:space="preserve">Manager</t>
  </si>
  <si>
    <t xml:space="preserve">20%</t>
  </si>
  <si>
    <t xml:space="preserve">Functional Consultant Mid</t>
  </si>
  <si>
    <t xml:space="preserve">Senior Associate</t>
  </si>
  <si>
    <t xml:space="preserve">18%</t>
  </si>
  <si>
    <t xml:space="preserve">ABAP / OIC Developer Sr.</t>
  </si>
  <si>
    <t xml:space="preserve">ABAP / OIC Developer Mid</t>
  </si>
  <si>
    <t xml:space="preserve">7%</t>
  </si>
  <si>
    <t xml:space="preserve">Data Migration Specialist</t>
  </si>
  <si>
    <t xml:space="preserve">Change Mgmt / OCM Lead</t>
  </si>
  <si>
    <t xml:space="preserve">Testing Lead / QA</t>
  </si>
  <si>
    <t xml:space="preserve">4%</t>
  </si>
  <si>
    <t xml:space="preserve">Project Manager</t>
  </si>
  <si>
    <t xml:space="preserve">C.  COMPLEXITY MULTIPLIERS (editable)</t>
  </si>
  <si>
    <t xml:space="preserve">Code</t>
  </si>
  <si>
    <t xml:space="preserve">Multiplier</t>
  </si>
  <si>
    <t xml:space="preserve">Config</t>
  </si>
  <si>
    <t xml:space="preserve">Selection Criteria</t>
  </si>
  <si>
    <t xml:space="preserve">Examples (Config | Custom | Data Migration)</t>
  </si>
  <si>
    <t xml:space="preserve">Low</t>
  </si>
  <si>
    <t xml:space="preserve">L</t>
  </si>
  <si>
    <t xml:space="preserve">• OOB / standard Oracle functionality; minimal configuration beyond defaults
• Single legal entity or business unit; no country-specific localisation
• Processes closely match Oracle standard; no workarounds or process redesign
• Standard approval workflow (1–2 levels); standard RBAC roles sufficient
• Source data is clean, well-structured, available in compatible format
• Integration is one-way batch/file-based (SFTP/FTP); no transformation logic</t>
  </si>
  <si>
    <t xml:space="preserve">CONFIG:
  › Single-country absence plans &amp; holiday calendars
  › Standard expense policy with OOB approval
CUSTOM:
  › One-way batch SFTP integration (file-based)
  › Standard OTBI report using a single subject area
DATA MIG:
  › Reference data (departments, grades, jobs) — clean single source
  › Supplier master from single ERP, no duplicates, standard fields</t>
  </si>
  <si>
    <t xml:space="preserve">Medium</t>
  </si>
  <si>
    <t xml:space="preserve">M</t>
  </si>
  <si>
    <t xml:space="preserve">• Some configuration beyond OOB; guided by Oracle best practice
• 2–5 legal entities or business units sharing common structures
• Minor process deviations handled via Oracle flexfields or lookups
• Standard multi-level approval workflow (2–3 levels); standard security model
• Source data requires moderate cleansing; mostly 1-to-1 field mapping
• Standard REST/SOAP API integration; moderate transformation logic</t>
  </si>
  <si>
    <t xml:space="preserve">CONFIG:
  › Multi-entity GL with intercompany accounting (3 entities)
  › AP invoice approval with 3-level BPM workflow
CUSTOM:
  › OIC REST API integration (inbound/outbound, moderate mapping)
  › OTBI report across 2 subject areas with calculated measures
DATA MIG:
  › Employee master from a single HR system with standard fields
  › Open AP invoices from a structured ERP with known schema</t>
  </si>
  <si>
    <t xml:space="preserve">High</t>
  </si>
  <si>
    <t xml:space="preserve">H</t>
  </si>
  <si>
    <t xml:space="preserve">• Significant complexity; multiple exceptions to OOB process
• 6–15 legal entities, multi-country, or cross-pillar dependencies
• Legislative or regulatory requirements driving non-standard configuration
• Complex multi-level approval hierarchies; data security policy design
• Source data is poor quality, fragmented across systems, or unstructured
• Real-time or bidirectional integration; event-driven or orchestrated flows</t>
  </si>
  <si>
    <t xml:space="preserve">CONFIG:
  › Multi-country payroll with country-specific tax localisations (3+ countries)
  › WMS warehouse layout with advanced picking, putaway &amp; replenishment rules
CUSTOM:
  › Bidirectional real-time OIC integration with complex transformation logic
  › Custom payroll Fast Formula with tax override and conditional logic
DATA MIG:
  › Employee data from 3+ HR systems with conflicting schemas
  › Fixed assets with full depreciation history and NBV reconciliation</t>
  </si>
  <si>
    <t xml:space="preserve">Very High</t>
  </si>
  <si>
    <t xml:space="preserve">VH</t>
  </si>
  <si>
    <t xml:space="preserve">• Heavily customised or non-standard process; Oracle OOB not fit for purpose
• 15+ legal entities, global rollout, or highly regulated (BFSI, Pharma, Defence)
• High CEMLI dependency; multiple custom extensions interacting with each other
• Real-time multi-system orchestration with complex event handling and retry logic
• Legacy data with no clear mapping, large volumes, or critical statutory reconciliation
• Concurrent go-live across multiple countries or business units in a single cutover</t>
  </si>
  <si>
    <t xml:space="preserve">CONFIG:
  › Global payroll across 10+ countries with unique legislation per country
  › Holding company consolidation with complex minority interest &amp; FX elimination
CUSTOM:
  › ODA chatbot with NLP + multi-system backend orchestration
  › Multi-system integration hub (ERP + HCM + CRM + 3PL + Banking)
DATA MIG:
  › Legacy COBOL mainframe data with reverse-engineered schema
  › Multi-country payroll balances with local statutory year-end carryforward</t>
  </si>
  <si>
    <t xml:space="preserve">CONFIGURATION EFFORT ESTIMATOR</t>
  </si>
  <si>
    <t xml:space="preserve">Activity-level config effort with Dev Days + Unit Test Days split | Amber = input | Green = calculated</t>
  </si>
  <si>
    <t xml:space="preserve">AMBER = Input</t>
  </si>
  <si>
    <t xml:space="preserve">GREEN = Calculated</t>
  </si>
  <si>
    <t xml:space="preserve">BLUE = Formula</t>
  </si>
  <si>
    <t xml:space="preserve">CX: L=Low M=Med H=High VH=VHigh</t>
  </si>
  <si>
    <t xml:space="preserve">Module / Pillar</t>
  </si>
  <si>
    <t xml:space="preserve">Configuration Task / Activity</t>
  </si>
  <si>
    <t xml:space="preserve">Complexity
(L/M/H/VH)</t>
  </si>
  <si>
    <t xml:space="preserve">Volume
(Count)</t>
  </si>
  <si>
    <t xml:space="preserve">Unit Dev
Days (OOB)</t>
  </si>
  <si>
    <t xml:space="preserve">Benchmark
Source</t>
  </si>
  <si>
    <t xml:space="preserve">Complexity
Multiplier</t>
  </si>
  <si>
    <t xml:space="preserve">Base Dev
Days</t>
  </si>
  <si>
    <t xml:space="preserve">Unit Test
Days
(UT%)</t>
  </si>
  <si>
    <t xml:space="preserve">Total Config
Effort (Days)</t>
  </si>
  <si>
    <t xml:space="preserve">SDLC: Build
% split</t>
  </si>
  <si>
    <t xml:space="preserve">Primary Role</t>
  </si>
  <si>
    <t xml:space="preserve">  ▼  COMPLEXITY GUIDE — Configuration activities (Column D)</t>
  </si>
  <si>
    <t xml:space="preserve">Select the code that best describes the majority of the work in this row. When in doubt between two levels, always choose the higher one and document your rationale. Multipliers are applied automatically from the Assumptions tab.</t>
  </si>
  <si>
    <t xml:space="preserve">Level (Code)</t>
  </si>
  <si>
    <t xml:space="preserve">Typical Example for this Sheet</t>
  </si>
  <si>
    <t xml:space="preserve">Low  (L)  ×0.7×</t>
  </si>
  <si>
    <t xml:space="preserve">  •  OOB / standard Oracle functionality; minimal configuration beyond defaults
  •  Single legal entity or business unit; no country-specific localisation
  •  Processes closely match Oracle standard; no workarounds or process redesign
  •  Standard approval workflow (1–2 levels); standard RBAC roles sufficient
  •  Source data is clean, well-structured, available in compatible format
  •  Integration is one-way batch/file-based (SFTP/FTP); no transformation logic</t>
  </si>
  <si>
    <t xml:space="preserve">  ›  Single-country absence plans &amp; holiday calendars
  ›  Standard expense policy with OOB approval
  ›  Item category setup with standard attributes</t>
  </si>
  <si>
    <t xml:space="preserve">Medium  (M)  ×1.0×</t>
  </si>
  <si>
    <t xml:space="preserve">  •  Some configuration beyond OOB; guided by Oracle best practice
  •  2–5 legal entities or business units sharing common structures
  •  Minor process deviations handled via Oracle flexfields or lookups
  •  Standard multi-level approval workflow (2–3 levels); standard security model
  •  Source data requires moderate cleansing; mostly 1-to-1 field mapping
  •  Standard REST/SOAP API integration; moderate transformation logic</t>
  </si>
  <si>
    <t xml:space="preserve">  ›  Multi-entity GL with intercompany accounting (3 entities)
  ›  AP invoice approval with 3-level BPM workflow
  ›  Payroll element setup for a single-country payroll</t>
  </si>
  <si>
    <t xml:space="preserve">High  (H)  ×1.4×</t>
  </si>
  <si>
    <t xml:space="preserve">  •  Significant complexity; multiple exceptions to OOB process
  •  6–15 legal entities, multi-country, or cross-pillar dependencies
  •  Legislative or regulatory requirements driving non-standard configuration
  •  Complex multi-level approval hierarchies; data security policy design
  •  Source data is poor quality, fragmented across systems, or unstructured
  •  Real-time or bidirectional integration; event-driven or orchestrated flows</t>
  </si>
  <si>
    <t xml:space="preserve">  ›  Multi-country payroll with country-specific tax localisations (3+ countries)
  ›  WMS warehouse layout with advanced picking, putaway &amp; replenishment rules
  ›  Security RBAC design with SoD conflict identification and remediation</t>
  </si>
  <si>
    <t xml:space="preserve">Very High  (VH)  ×2.0×</t>
  </si>
  <si>
    <t xml:space="preserve">  •  Heavily customised or non-standard process; Oracle OOB not fit for purpose
  •  15+ legal entities, global rollout, or highly regulated (BFSI, Pharma, Defence)
  •  High CEMLI dependency; multiple custom extensions interacting with each other
  •  Real-time multi-system orchestration with complex event handling and retry logic
  •  Legacy data with no clear mapping, large volumes, or critical statutory reconciliation
  •  Concurrent go-live across multiple countries or business units in a single cutover</t>
  </si>
  <si>
    <t xml:space="preserve">  ›  Global payroll across 10+ countries with unique legislation per country
  ›  Holding company consolidation with complex minority interest &amp; FX elimination
  ›  Manufacturing with multi-level BOM, shop floor control, and IoT sensor integration</t>
  </si>
  <si>
    <t xml:space="preserve">HCM – Core HR</t>
  </si>
  <si>
    <t xml:space="preserve">Enterprise Structures setup (BU, LE, Divisions)</t>
  </si>
  <si>
    <t xml:space="preserve">Everest 2023</t>
  </si>
  <si>
    <t xml:space="preserve">65%</t>
  </si>
  <si>
    <t xml:space="preserve">Functional Lead</t>
  </si>
  <si>
    <t xml:space="preserve">Reference Data: Grades, Grade Ladders, Job Families</t>
  </si>
  <si>
    <t xml:space="preserve">Functional Consultant</t>
  </si>
  <si>
    <t xml:space="preserve">Position Management configuration</t>
  </si>
  <si>
    <t xml:space="preserve">Assignment &amp; Employment Model setup</t>
  </si>
  <si>
    <t xml:space="preserve">Work Schedules &amp; Holiday Calendars</t>
  </si>
  <si>
    <t xml:space="preserve">Absence Plans &amp; Eligibility Rules</t>
  </si>
  <si>
    <t xml:space="preserve">Forrester TEI</t>
  </si>
  <si>
    <t xml:space="preserve">Document Records &amp; DFF setup</t>
  </si>
  <si>
    <t xml:space="preserve">HCM – Payroll</t>
  </si>
  <si>
    <t xml:space="preserve">Payroll Definitions &amp; Pay Frequencies</t>
  </si>
  <si>
    <t xml:space="preserve">Earnings &amp; Deduction Elements setup</t>
  </si>
  <si>
    <t xml:space="preserve">Fast Formula development (per formula group)</t>
  </si>
  <si>
    <t xml:space="preserve">Technical Developer</t>
  </si>
  <si>
    <t xml:space="preserve">Payroll Costing configuration</t>
  </si>
  <si>
    <t xml:space="preserve">Tax Localisation per country</t>
  </si>
  <si>
    <t xml:space="preserve">Gartner 2022</t>
  </si>
  <si>
    <t xml:space="preserve">HCM – Talent</t>
  </si>
  <si>
    <t xml:space="preserve">Recruiting: Requisition &amp; Offer configuration</t>
  </si>
  <si>
    <t xml:space="preserve">Performance Template &amp; Rating Model setup</t>
  </si>
  <si>
    <t xml:space="preserve">Goal Management &amp; Library configuration</t>
  </si>
  <si>
    <t xml:space="preserve">HCM – Benefits</t>
  </si>
  <si>
    <t xml:space="preserve">Benefit Plans, Options &amp; Coverage configuration</t>
  </si>
  <si>
    <t xml:space="preserve">Eligibility Profiles setup</t>
  </si>
  <si>
    <t xml:space="preserve">ERP – GL</t>
  </si>
  <si>
    <t xml:space="preserve">Chart of Accounts design (segments &amp; values)</t>
  </si>
  <si>
    <t xml:space="preserve">Ledger &amp; Accounting Calendar setup</t>
  </si>
  <si>
    <t xml:space="preserve">Intercompany Accounting configuration</t>
  </si>
  <si>
    <t xml:space="preserve">Period Close procedures &amp; Subledger Accounting</t>
  </si>
  <si>
    <t xml:space="preserve">ERP – AP</t>
  </si>
  <si>
    <t xml:space="preserve">Supplier Setup: Sites, Banks, Payment Terms</t>
  </si>
  <si>
    <t xml:space="preserve">Invoice Processing &amp; Approval Workflow</t>
  </si>
  <si>
    <t xml:space="preserve">Payment Templates &amp; Bank configuration</t>
  </si>
  <si>
    <t xml:space="preserve">ERP – AR</t>
  </si>
  <si>
    <t xml:space="preserve">Customer Setup &amp; Credit Management</t>
  </si>
  <si>
    <t xml:space="preserve">Receipt Methods &amp; Lockbox configuration</t>
  </si>
  <si>
    <t xml:space="preserve">Revenue Recognition rules setup</t>
  </si>
  <si>
    <t xml:space="preserve">ERP – FA</t>
  </si>
  <si>
    <t xml:space="preserve">Asset Books, Categories &amp; Depreciation Methods</t>
  </si>
  <si>
    <t xml:space="preserve">Lease Accounting (ASC842/IFRS16)</t>
  </si>
  <si>
    <t xml:space="preserve">ERP – Cash</t>
  </si>
  <si>
    <t xml:space="preserve">Bank Accounts &amp; Reconciliation setup</t>
  </si>
  <si>
    <t xml:space="preserve">ERP – Tax</t>
  </si>
  <si>
    <t xml:space="preserve">Tax Regime, Rates &amp; Rules configuration</t>
  </si>
  <si>
    <t xml:space="preserve">Technical Lead</t>
  </si>
  <si>
    <t xml:space="preserve">ERP – Expense</t>
  </si>
  <si>
    <t xml:space="preserve">Expense Policies, Approval &amp; Corporate Cards</t>
  </si>
  <si>
    <t xml:space="preserve">ERP – Proc</t>
  </si>
  <si>
    <t xml:space="preserve">Purchasing Config: Approval Hierarchies, Document styles</t>
  </si>
  <si>
    <t xml:space="preserve">Requisition &amp; PO Workflow setup</t>
  </si>
  <si>
    <t xml:space="preserve">Supplier Portal configuration</t>
  </si>
  <si>
    <t xml:space="preserve">SCM – INV</t>
  </si>
  <si>
    <t xml:space="preserve">Inventory Organisations &amp; Sub-Inventories</t>
  </si>
  <si>
    <t xml:space="preserve">Item Master &amp; Item Attributes setup</t>
  </si>
  <si>
    <t xml:space="preserve">Lot, Serial, Revision control configuration</t>
  </si>
  <si>
    <t xml:space="preserve">SCM – OMS</t>
  </si>
  <si>
    <t xml:space="preserve">Order Types, Lines &amp; Fulfilment setup</t>
  </si>
  <si>
    <t xml:space="preserve">Pricing Strategy &amp; Price Lists</t>
  </si>
  <si>
    <t xml:space="preserve">SCM – MFG</t>
  </si>
  <si>
    <t xml:space="preserve">Bills of Material &amp; Routing setup</t>
  </si>
  <si>
    <t xml:space="preserve">Work Definitions &amp; Resource setup</t>
  </si>
  <si>
    <t xml:space="preserve">SCM – WMS</t>
  </si>
  <si>
    <t xml:space="preserve">Warehouse Layout &amp; Strategies</t>
  </si>
  <si>
    <t xml:space="preserve">Picking &amp; Putaway Rules configuration</t>
  </si>
  <si>
    <t xml:space="preserve">SCM – QA</t>
  </si>
  <si>
    <t xml:space="preserve">Inspection Plans &amp; Sampling Rules</t>
  </si>
  <si>
    <t xml:space="preserve">EPM – EPBCS</t>
  </si>
  <si>
    <t xml:space="preserve">Planning Application &amp; Dimensions setup</t>
  </si>
  <si>
    <t xml:space="preserve">Budget Forms, Approval Workflow</t>
  </si>
  <si>
    <t xml:space="preserve">EPM – FCCS</t>
  </si>
  <si>
    <t xml:space="preserve">Consolidation App &amp; Intercompany Elimination rules</t>
  </si>
  <si>
    <t xml:space="preserve">EPM – ARCS</t>
  </si>
  <si>
    <t xml:space="preserve">Security</t>
  </si>
  <si>
    <t xml:space="preserve">Data Security Policies per module</t>
  </si>
  <si>
    <t xml:space="preserve">SoD Conflict Rules &amp; Remediation</t>
  </si>
  <si>
    <t xml:space="preserve">SSO / IDCS / SAML configuration</t>
  </si>
  <si>
    <t xml:space="preserve">Infrastructure</t>
  </si>
  <si>
    <t xml:space="preserve">OCI Environment provisioning (DEV/TEST/PROD)</t>
  </si>
  <si>
    <t xml:space="preserve">Infra Engineer</t>
  </si>
  <si>
    <t xml:space="preserve">Network, VPN &amp; Security Zones setup</t>
  </si>
  <si>
    <t xml:space="preserve">Scheduled Jobs &amp; ESS configuration</t>
  </si>
  <si>
    <t xml:space="preserve">CONFIGURATION TOTALS</t>
  </si>
  <si>
    <t xml:space="preserve">TOTAL CONFIG EFFORT WITH CONTINGENCY (+15%)</t>
  </si>
  <si>
    <t xml:space="preserve">CUSTOMISATION (CEMLI) EFFORT ESTIMATOR</t>
  </si>
  <si>
    <t xml:space="preserve">Bottom-up CEMLI effort: Dev Days + Unit Test + Peer Review split | Amber = input | Green = calculated</t>
  </si>
  <si>
    <t xml:space="preserve">UT Days = Dev Days × UT% (Assumptions C8) | Peer Review = Dev Days × Review% (Assumptions C10) | Total = Dev + UT + Review | Complexity multiplier from Assumptions Section C (col E = Custom)</t>
  </si>
  <si>
    <t xml:space="preserve">Module</t>
  </si>
  <si>
    <t xml:space="preserve">Extension Name / Description</t>
  </si>
  <si>
    <t xml:space="preserve">Extension
Type</t>
  </si>
  <si>
    <t xml:space="preserve">CX
(L/M/H/VH)</t>
  </si>
  <si>
    <t xml:space="preserve">Qty</t>
  </si>
  <si>
    <t xml:space="preserve">Unit Dev
Days</t>
  </si>
  <si>
    <t xml:space="preserve">CX
Multiplier</t>
  </si>
  <si>
    <t xml:space="preserve">UT Days
(UT%)</t>
  </si>
  <si>
    <t xml:space="preserve">Peer Rev
Days</t>
  </si>
  <si>
    <t xml:space="preserve">Total
Effort(Days)</t>
  </si>
  <si>
    <t xml:space="preserve">Benchmark</t>
  </si>
  <si>
    <t xml:space="preserve">  ▼  COMPLEXITY GUIDE — CEMLI / Extension activities (Column E)</t>
  </si>
  <si>
    <t xml:space="preserve">Low  (L)  ×0.8×</t>
  </si>
  <si>
    <t xml:space="preserve">  ›  One-way batch SFTP integration (file-based)
  ›  Standard OTBI report using a single subject area
  ›  Simple page personalisation (hide/show fields)</t>
  </si>
  <si>
    <t xml:space="preserve">  ›  OIC REST API integration (inbound/outbound, moderate mapping)
  ›  OTBI report across 2 subject areas with calculated measures
  ›  BPM workflow extension with conditional routing</t>
  </si>
  <si>
    <t xml:space="preserve">High  (H)  ×1.5×</t>
  </si>
  <si>
    <t xml:space="preserve">  ›  Bidirectional real-time OIC integration with complex transformation logic
  ›  Custom payroll Fast Formula with tax override and conditional logic
  ›  OAC dashboard with cross-pillar KPIs and multi-source calculated metrics</t>
  </si>
  <si>
    <t xml:space="preserve">Very High  (VH)  ×1.9×</t>
  </si>
  <si>
    <t xml:space="preserve">  ›  ODA chatbot with NLP + multi-system backend orchestration
  ›  Multi-system integration hub (ERP + HCM + CRM + 3PL + Banking)
  ›  Custom statutory report replacing a government submission format</t>
  </si>
  <si>
    <t xml:space="preserve">Custom Fast Formula — Tax Override</t>
  </si>
  <si>
    <t xml:space="preserve">Formula</t>
  </si>
  <si>
    <t xml:space="preserve">Custom Payslip Layout (BI Publisher)</t>
  </si>
  <si>
    <t xml:space="preserve">BI Publisher</t>
  </si>
  <si>
    <t xml:space="preserve">Person Address Validation Extension</t>
  </si>
  <si>
    <t xml:space="preserve">Page Ext (VB)</t>
  </si>
  <si>
    <t xml:space="preserve">Custom Offer Letter Template</t>
  </si>
  <si>
    <t xml:space="preserve">Journal Import Custom Validation Rule</t>
  </si>
  <si>
    <t xml:space="preserve">Business Rule</t>
  </si>
  <si>
    <t xml:space="preserve">Custom Invoice Approval Workflow Ext</t>
  </si>
  <si>
    <t xml:space="preserve">Workflow Ext</t>
  </si>
  <si>
    <t xml:space="preserve">Custom Payment File Format (ISO20022)</t>
  </si>
  <si>
    <t xml:space="preserve">Custom AutoInvoice Interface Validation</t>
  </si>
  <si>
    <t xml:space="preserve">Custom Asset Depreciation Report</t>
  </si>
  <si>
    <t xml:space="preserve">OTBI/BIP</t>
  </si>
  <si>
    <t xml:space="preserve">Tax Determination Custom Rule</t>
  </si>
  <si>
    <t xml:space="preserve">Custom PO Approval Notification</t>
  </si>
  <si>
    <t xml:space="preserve">BPM Workflow</t>
  </si>
  <si>
    <t xml:space="preserve">Supplier Portal Custom Page Extension</t>
  </si>
  <si>
    <t xml:space="preserve">Custom Pricing Algorithm Extension</t>
  </si>
  <si>
    <t xml:space="preserve">Custom Order Fulfilment Orchestration</t>
  </si>
  <si>
    <t xml:space="preserve">OIC Flow</t>
  </si>
  <si>
    <t xml:space="preserve">Custom Production Dispatch Report</t>
  </si>
  <si>
    <t xml:space="preserve">Custom Barcode Label Layout</t>
  </si>
  <si>
    <t xml:space="preserve">Integration</t>
  </si>
  <si>
    <t xml:space="preserve">OIC Flow — HCM to Payroll Provider</t>
  </si>
  <si>
    <t xml:space="preserve">OIC (Complex)</t>
  </si>
  <si>
    <t xml:space="preserve">OIC Flow — ERP to Banking (ISO20022)</t>
  </si>
  <si>
    <t xml:space="preserve">OIC Flow — SCM to 3PL Warehouse</t>
  </si>
  <si>
    <t xml:space="preserve">REST API — CRM to ERP Order</t>
  </si>
  <si>
    <t xml:space="preserve">OIC (Simple)</t>
  </si>
  <si>
    <t xml:space="preserve">REST API — ERP to Tax Engine (Avalara)</t>
  </si>
  <si>
    <t xml:space="preserve">File-Based SFTP Integration (batch)</t>
  </si>
  <si>
    <t xml:space="preserve">Event-Driven ODA Chatbot Integration</t>
  </si>
  <si>
    <t xml:space="preserve">Reporting</t>
  </si>
  <si>
    <t xml:space="preserve">OTBI Analysis — GL Trial Balance</t>
  </si>
  <si>
    <t xml:space="preserve">OTBI</t>
  </si>
  <si>
    <t xml:space="preserve">BIP Report — PO Output Format</t>
  </si>
  <si>
    <t xml:space="preserve">OAC Dashboard — Finance KPIs</t>
  </si>
  <si>
    <t xml:space="preserve">OAC</t>
  </si>
  <si>
    <t xml:space="preserve">OAC Dashboard — Supply Chain Ops</t>
  </si>
  <si>
    <t xml:space="preserve">BIP Report — Vendor Payment Remittance</t>
  </si>
  <si>
    <t xml:space="preserve">EPM</t>
  </si>
  <si>
    <t xml:space="preserve">Smart View Custom Template</t>
  </si>
  <si>
    <t xml:space="preserve">SmartView</t>
  </si>
  <si>
    <t xml:space="preserve">Groovy Calculation Script (EPBCS)</t>
  </si>
  <si>
    <t xml:space="preserve">Calc Script</t>
  </si>
  <si>
    <t xml:space="preserve">CUSTOMISATION TOTALS</t>
  </si>
  <si>
    <t xml:space="preserve">TOTAL CUSTOM EFFORT WITH CONTINGENCY</t>
  </si>
  <si>
    <t xml:space="preserve">DATA MIGRATION EFFORT ESTIMATOR</t>
  </si>
  <si>
    <t xml:space="preserve">Bottom-up per migration object: Extract + Cleanse + Transform + Load + Recon/UT | Amber = input</t>
  </si>
  <si>
    <t xml:space="preserve">UT / Reconciliation Days = (Extract+Cleanse+Transform+Load) × UT% from Assumptions C9 | All effort is per migration object (one FBDI/HDL template). Volume = number of trial load cycles (default 3).</t>
  </si>
  <si>
    <t xml:space="preserve">Migration Object</t>
  </si>
  <si>
    <t xml:space="preserve">Tool
(FBDI/HDL)</t>
  </si>
  <si>
    <t xml:space="preserve">CX
(L/M/H)</t>
  </si>
  <si>
    <t xml:space="preserve">Trial
Loads
(Vol)</t>
  </si>
  <si>
    <t xml:space="preserve">Extract
Days</t>
  </si>
  <si>
    <t xml:space="preserve">Cleanse
Days</t>
  </si>
  <si>
    <t xml:space="preserve">Transform
Days</t>
  </si>
  <si>
    <t xml:space="preserve">Load
Days</t>
  </si>
  <si>
    <t xml:space="preserve">Recon/UT
Days</t>
  </si>
  <si>
    <t xml:space="preserve">Sub-Total
Dev Days</t>
  </si>
  <si>
    <t xml:space="preserve">Total incl
UT (Days)</t>
  </si>
  <si>
    <t xml:space="preserve">Benchmark / Role</t>
  </si>
  <si>
    <t xml:space="preserve">  ▼  COMPLEXITY GUIDE — Data Migration objects (Column E)</t>
  </si>
  <si>
    <t xml:space="preserve">  ›  Reference data (departments, grades, jobs) — clean single source
  ›  Supplier master from single ERP, no duplicates, standard fields
  ›  GL chart of accounts with clear legacy mapping</t>
  </si>
  <si>
    <t xml:space="preserve">  ›  Employee master from a single HR system with standard fields
  ›  Open AP invoices from a structured ERP with known schema
  ›  Item master with 50–70% direct attribute mapping</t>
  </si>
  <si>
    <t xml:space="preserve">  ›  Employee data from 3+ HR systems with conflicting schemas
  ›  Fixed assets with full depreciation history and NBV reconciliation
  ›  BOM/routing from legacy MRP with non-standard structure and UoM</t>
  </si>
  <si>
    <t xml:space="preserve">  ›  Legacy COBOL mainframe data with reverse-engineered schema
  ›  Multi-country payroll balances with local statutory year-end carryforward
  ›  Inventory from 5+ legacy WMS systems with conflicting UoM, codes and structures</t>
  </si>
  <si>
    <t xml:space="preserve">HCM</t>
  </si>
  <si>
    <t xml:space="preserve">Employees (Person, Assignment, Contract)</t>
  </si>
  <si>
    <t xml:space="preserve">HDL</t>
  </si>
  <si>
    <t xml:space="preserve">Everest 2023 | DM Specialist</t>
  </si>
  <si>
    <t xml:space="preserve">Organisation Hierarchy &amp; Departments</t>
  </si>
  <si>
    <t xml:space="preserve">Jobs, Positions &amp; Grades</t>
  </si>
  <si>
    <t xml:space="preserve">Everest 2023 | Functional Consultant</t>
  </si>
  <si>
    <t xml:space="preserve">Work Relationships &amp; Contracts</t>
  </si>
  <si>
    <t xml:space="preserve">Compensation &amp; Salary History</t>
  </si>
  <si>
    <t xml:space="preserve">HCM Spreadsheet</t>
  </si>
  <si>
    <t xml:space="preserve">Forrester TEI | DM Specialist</t>
  </si>
  <si>
    <t xml:space="preserve">Absence Balances &amp; Accruals</t>
  </si>
  <si>
    <t xml:space="preserve">ERP</t>
  </si>
  <si>
    <t xml:space="preserve">Chart of Accounts &amp; Account Values</t>
  </si>
  <si>
    <t xml:space="preserve">FBDI</t>
  </si>
  <si>
    <t xml:space="preserve">Open AP Invoices</t>
  </si>
  <si>
    <t xml:space="preserve">Open AR Transactions</t>
  </si>
  <si>
    <t xml:space="preserve">Fixed Assets — Asset Details &amp; NBV</t>
  </si>
  <si>
    <t xml:space="preserve">Gartner 2022 | DM Specialist</t>
  </si>
  <si>
    <t xml:space="preserve">GL Open Balances (per period)</t>
  </si>
  <si>
    <t xml:space="preserve">Supplier Master &amp; Supplier Sites</t>
  </si>
  <si>
    <t xml:space="preserve">Customer Master &amp; Customer Sites</t>
  </si>
  <si>
    <t xml:space="preserve">SCM</t>
  </si>
  <si>
    <t xml:space="preserve">Bill of Materials (BOM)</t>
  </si>
  <si>
    <t xml:space="preserve">On-Hand Inventory Balances</t>
  </si>
  <si>
    <t xml:space="preserve">Open Sales Orders</t>
  </si>
  <si>
    <t xml:space="preserve">Routings &amp; Resources</t>
  </si>
  <si>
    <t xml:space="preserve">Historical Financial Data (FCCS)</t>
  </si>
  <si>
    <t xml:space="preserve">Data Management</t>
  </si>
  <si>
    <t xml:space="preserve">Budget / Plan Data (EPBCS)</t>
  </si>
  <si>
    <t xml:space="preserve">DATA MIGRATION TOTALS</t>
  </si>
  <si>
    <t xml:space="preserve">TOTAL DATA MIGRATION WITH CONTINGENCY</t>
  </si>
  <si>
    <t xml:space="preserve">SDLC PHASE EFFORT VIEW</t>
  </si>
  <si>
    <t xml:space="preserve">Cross-stream effort rolled up by SDLC phase | References Config, Custom &amp; Data Migration sheets</t>
  </si>
  <si>
    <t xml:space="preserve">A.  SOURCE STREAM TOTALS (with Contingency)</t>
  </si>
  <si>
    <t xml:space="preserve">Stream</t>
  </si>
  <si>
    <t xml:space="preserve">Total Effort (Days)</t>
  </si>
  <si>
    <t xml:space="preserve">Dev Days</t>
  </si>
  <si>
    <t xml:space="preserve">UT / Recon Days</t>
  </si>
  <si>
    <t xml:space="preserve">Source Sheet</t>
  </si>
  <si>
    <t xml:space="preserve">Configuration</t>
  </si>
  <si>
    <t xml:space="preserve">Config Estimator — Col K</t>
  </si>
  <si>
    <t xml:space="preserve">Customisation (CEMLI)</t>
  </si>
  <si>
    <t xml:space="preserve">Custom Estimator — Col L</t>
  </si>
  <si>
    <t xml:space="preserve">Data Migration</t>
  </si>
  <si>
    <t xml:space="preserve">Data Migration Est. — Col M</t>
  </si>
  <si>
    <t xml:space="preserve">GRAND TOTAL (all streams)</t>
  </si>
  <si>
    <t xml:space="preserve">B.  EFFORT BY SDLC PHASE — ALL STREAMS</t>
  </si>
  <si>
    <t xml:space="preserve">SDLC Phase</t>
  </si>
  <si>
    <t xml:space="preserve">Config
Effort</t>
  </si>
  <si>
    <t xml:space="preserve">Custom
Effort</t>
  </si>
  <si>
    <t xml:space="preserve">Data Mig
Effort</t>
  </si>
  <si>
    <t xml:space="preserve">Total Phase
Effort</t>
  </si>
  <si>
    <t xml:space="preserve">% of Grand
Total</t>
  </si>
  <si>
    <t xml:space="preserve">Elapsed
Weeks (est)</t>
  </si>
  <si>
    <t xml:space="preserve">Phase
FTE (avg)</t>
  </si>
  <si>
    <t xml:space="preserve">Ph0: Inception/Mobilise</t>
  </si>
  <si>
    <t xml:space="preserve">Ph1: Discover &amp; Assess</t>
  </si>
  <si>
    <t xml:space="preserve">Ph2: Design/Blueprint</t>
  </si>
  <si>
    <t xml:space="preserve">Ph3: Build / Configure</t>
  </si>
  <si>
    <t xml:space="preserve">Ph4: Integration &amp; SIT</t>
  </si>
  <si>
    <t xml:space="preserve">Ph5: UAT</t>
  </si>
  <si>
    <t xml:space="preserve">Ph6: Data Migration</t>
  </si>
  <si>
    <t xml:space="preserve">Ph7: Training &amp; OCM</t>
  </si>
  <si>
    <t xml:space="preserve">Ph8: Go-Live &amp; Cutover</t>
  </si>
  <si>
    <t xml:space="preserve">Ph9: Post Go-Live/Hypercare</t>
  </si>
  <si>
    <t xml:space="preserve">TOTAL</t>
  </si>
  <si>
    <t xml:space="preserve">C.  PHASE DEFINITIONS &amp; KEY DELIVERABLES</t>
  </si>
  <si>
    <t xml:space="preserve">Phase</t>
  </si>
  <si>
    <t xml:space="preserve">Oracle OUM Ref</t>
  </si>
  <si>
    <t xml:space="preserve">% Config</t>
  </si>
  <si>
    <t xml:space="preserve">% Custom</t>
  </si>
  <si>
    <t xml:space="preserve">% DataMig</t>
  </si>
  <si>
    <t xml:space="preserve">Key Activities / Deliverables</t>
  </si>
  <si>
    <t xml:space="preserve">Phase 0</t>
  </si>
  <si>
    <t xml:space="preserve">2%</t>
  </si>
  <si>
    <t xml:space="preserve">Infra, kick-off, governance, templates</t>
  </si>
  <si>
    <t xml:space="preserve">OUM: Inception</t>
  </si>
  <si>
    <t xml:space="preserve">15%</t>
  </si>
  <si>
    <t xml:space="preserve">CRP1, current state, gap analysis</t>
  </si>
  <si>
    <t xml:space="preserve">OUM: Elaboration</t>
  </si>
  <si>
    <t xml:space="preserve">10%</t>
  </si>
  <si>
    <t xml:space="preserve">Future state, CRP2, solution design</t>
  </si>
  <si>
    <t xml:space="preserve">OUM: Construction</t>
  </si>
  <si>
    <t xml:space="preserve">40%</t>
  </si>
  <si>
    <t xml:space="preserve">45%</t>
  </si>
  <si>
    <t xml:space="preserve">25%</t>
  </si>
  <si>
    <t xml:space="preserve">Config, Dev, Unit Test — heaviest phase</t>
  </si>
  <si>
    <t xml:space="preserve">OIC flows, SIT, defect cycles</t>
  </si>
  <si>
    <t xml:space="preserve">OUM: Transition</t>
  </si>
  <si>
    <t xml:space="preserve">Business-led UAT, defect fix, sign-off</t>
  </si>
  <si>
    <t xml:space="preserve">0%</t>
  </si>
  <si>
    <t xml:space="preserve">Trial loads, reconciliation, cutover data</t>
  </si>
  <si>
    <t xml:space="preserve">Training delivery, change comms</t>
  </si>
  <si>
    <t xml:space="preserve">OUM: Production</t>
  </si>
  <si>
    <t xml:space="preserve">Cutover weekend, parallel run</t>
  </si>
  <si>
    <t xml:space="preserve">1%</t>
  </si>
  <si>
    <t xml:space="preserve">Stabilisation, L1/L2 hypercare</t>
  </si>
  <si>
    <t xml:space="preserve">ROLE EFFORT &amp; FTE SUMMARY</t>
  </si>
  <si>
    <t xml:space="preserve">Effort by role across all three streams | FTE = Effort ÷ (Project Months × Working Days/Month)</t>
  </si>
  <si>
    <t xml:space="preserve">A.  EFFORT BY ROLE — CROSS-STREAM SUMMARY</t>
  </si>
  <si>
    <t xml:space="preserve">Config
Days</t>
  </si>
  <si>
    <t xml:space="preserve">Custom
Days</t>
  </si>
  <si>
    <t xml:space="preserve">Data Mig
Days</t>
  </si>
  <si>
    <t xml:space="preserve">Total
Days</t>
  </si>
  <si>
    <t xml:space="preserve">% of Total</t>
  </si>
  <si>
    <t xml:space="preserve">Avg FTE
(18 mths)</t>
  </si>
  <si>
    <t xml:space="preserve">Peak FTE</t>
  </si>
  <si>
    <t xml:space="preserve">Functional Lead (HCM)</t>
  </si>
  <si>
    <t xml:space="preserve">Functional Lead (Finance)</t>
  </si>
  <si>
    <t xml:space="preserve">Functional Lead (SCM)</t>
  </si>
  <si>
    <t xml:space="preserve">Technical/Integration Lead</t>
  </si>
  <si>
    <t xml:space="preserve">ABAP/OIC Developer Sr.</t>
  </si>
  <si>
    <t xml:space="preserve">ABAP/OIC Developer Mid</t>
  </si>
  <si>
    <t xml:space="preserve">Infrastructure Engineer</t>
  </si>
  <si>
    <t xml:space="preserve">100.0%</t>
  </si>
  <si>
    <t xml:space="preserve">B.  FTE RAMP — INDICATIVE MONTHLY HEADCOUNT</t>
  </si>
  <si>
    <t xml:space="preserve">Role</t>
  </si>
  <si>
    <t xml:space="preserve">M1</t>
  </si>
  <si>
    <t xml:space="preserve">M2</t>
  </si>
  <si>
    <t xml:space="preserve">M3</t>
  </si>
  <si>
    <t xml:space="preserve">M4</t>
  </si>
  <si>
    <t xml:space="preserve">M5</t>
  </si>
  <si>
    <t xml:space="preserve">M6</t>
  </si>
  <si>
    <t xml:space="preserve">M7</t>
  </si>
  <si>
    <t xml:space="preserve">Functional Leads (×3)</t>
  </si>
  <si>
    <t xml:space="preserve">Functional Consultants (×3)</t>
  </si>
  <si>
    <t xml:space="preserve">Tech/Integration Lead</t>
  </si>
  <si>
    <t xml:space="preserve">Developers (×2)</t>
  </si>
  <si>
    <t xml:space="preserve">Testing Lead</t>
  </si>
  <si>
    <t xml:space="preserve">COST SUMMARY — ORACLE FUSION DETAILED ESTIMATE</t>
  </si>
  <si>
    <t xml:space="preserve">Effort × Blended Rates | Three streams | Contingency from Assumptions C3</t>
  </si>
  <si>
    <t xml:space="preserve">A.  COST BY STREAM</t>
  </si>
  <si>
    <t xml:space="preserve">Effort
(Days)</t>
  </si>
  <si>
    <t xml:space="preserve">Blended Rate
($/day)</t>
  </si>
  <si>
    <t xml:space="preserve">Base Cost ($)</t>
  </si>
  <si>
    <t xml:space="preserve">Contingency
($)</t>
  </si>
  <si>
    <t xml:space="preserve">Total Cost ($)</t>
  </si>
  <si>
    <t xml:space="preserve">GRAND TOTAL</t>
  </si>
  <si>
    <t xml:space="preserve">B.  INDICATIVE COST BY SDLC PHASE</t>
  </si>
  <si>
    <t xml:space="preserve">% of Effort</t>
  </si>
  <si>
    <t xml:space="preserve">Phase Cost ($)</t>
  </si>
  <si>
    <t xml:space="preserve">Config Cost</t>
  </si>
  <si>
    <t xml:space="preserve">Custom Cost</t>
  </si>
  <si>
    <t xml:space="preserve">DataMig Cost</t>
  </si>
  <si>
    <t xml:space="preserve">Phase FTE</t>
  </si>
  <si>
    <t xml:space="preserve">C.  NOTE: Blended rates in column D above are editable — adjust per engagement</t>
  </si>
  <si>
    <t xml:space="preserve">Default blended rates: Config stream uses Functional Consultant blended rate (Assumptions row 21). Customisation uses Developer blended rate. Data Migration uses DM Specialist rate. Override column D to use a project-specific blended rate per stream. For a role-by-role cost view, reference the Role &amp; FTE Summary tab.</t>
  </si>
</sst>
</file>

<file path=xl/styles.xml><?xml version="1.0" encoding="utf-8"?>
<styleSheet xmlns="http://schemas.openxmlformats.org/spreadsheetml/2006/main">
  <numFmts count="8">
    <numFmt numFmtId="164" formatCode="General"/>
    <numFmt numFmtId="165" formatCode="0"/>
    <numFmt numFmtId="166" formatCode="\$#,##0"/>
    <numFmt numFmtId="167" formatCode="0.0"/>
    <numFmt numFmtId="168" formatCode="#,##0"/>
    <numFmt numFmtId="169" formatCode="#,##0.0"/>
    <numFmt numFmtId="170" formatCode="0.0%"/>
    <numFmt numFmtId="171" formatCode="0%"/>
  </numFmts>
  <fonts count="45">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FFFFFF"/>
      <name val="Arial"/>
      <family val="0"/>
      <charset val="1"/>
    </font>
    <font>
      <b val="true"/>
      <sz val="10"/>
      <color rgb="FFFFFFFF"/>
      <name val="Arial"/>
      <family val="0"/>
      <charset val="1"/>
    </font>
    <font>
      <sz val="10"/>
      <color rgb="FF424242"/>
      <name val="Arial"/>
      <family val="0"/>
      <charset val="1"/>
    </font>
    <font>
      <b val="true"/>
      <sz val="10"/>
      <color rgb="FF000000"/>
      <name val="Arial"/>
      <family val="0"/>
      <charset val="1"/>
    </font>
    <font>
      <b val="true"/>
      <sz val="10"/>
      <color rgb="FFF5A623"/>
      <name val="Arial"/>
      <family val="0"/>
      <charset val="1"/>
    </font>
    <font>
      <b val="true"/>
      <sz val="9"/>
      <color rgb="FF757575"/>
      <name val="Arial"/>
      <family val="0"/>
      <charset val="1"/>
    </font>
    <font>
      <b val="true"/>
      <sz val="9"/>
      <color rgb="FF2E7D32"/>
      <name val="Arial"/>
      <family val="0"/>
      <charset val="1"/>
    </font>
    <font>
      <b val="true"/>
      <sz val="9"/>
      <color rgb="FF000000"/>
      <name val="Arial"/>
      <family val="0"/>
      <charset val="1"/>
    </font>
    <font>
      <sz val="10"/>
      <color rgb="FF1565C0"/>
      <name val="Arial"/>
      <family val="0"/>
      <charset val="1"/>
    </font>
    <font>
      <b val="true"/>
      <sz val="9"/>
      <color rgb="FFC74634"/>
      <name val="Arial"/>
      <family val="0"/>
      <charset val="1"/>
    </font>
    <font>
      <sz val="9"/>
      <color rgb="FF000000"/>
      <name val="Arial"/>
      <family val="0"/>
      <charset val="1"/>
    </font>
    <font>
      <b val="true"/>
      <sz val="8"/>
      <color rgb="FFF5A623"/>
      <name val="Arial"/>
      <family val="0"/>
      <charset val="1"/>
    </font>
    <font>
      <b val="true"/>
      <sz val="8"/>
      <color rgb="FF2E7D32"/>
      <name val="Arial"/>
      <family val="0"/>
      <charset val="1"/>
    </font>
    <font>
      <b val="true"/>
      <sz val="8"/>
      <color rgb="FFFFFFFF"/>
      <name val="Arial"/>
      <family val="0"/>
      <charset val="1"/>
    </font>
    <font>
      <i val="true"/>
      <sz val="8"/>
      <color rgb="FF757575"/>
      <name val="Arial"/>
      <family val="0"/>
      <charset val="1"/>
    </font>
    <font>
      <sz val="9"/>
      <color rgb="FF1565C0"/>
      <name val="Arial"/>
      <family val="0"/>
      <charset val="1"/>
    </font>
    <font>
      <i val="true"/>
      <sz val="8"/>
      <color rgb="FF000000"/>
      <name val="Arial"/>
      <family val="0"/>
      <charset val="1"/>
    </font>
    <font>
      <sz val="8"/>
      <color rgb="FF000000"/>
      <name val="Arial"/>
      <family val="0"/>
      <charset val="1"/>
    </font>
    <font>
      <sz val="8"/>
      <color rgb="FF424242"/>
      <name val="Arial"/>
      <family val="0"/>
      <charset val="1"/>
    </font>
    <font>
      <b val="true"/>
      <sz val="8"/>
      <color rgb="FF1565C0"/>
      <name val="Arial"/>
      <family val="0"/>
      <charset val="1"/>
    </font>
    <font>
      <b val="true"/>
      <sz val="8"/>
      <color rgb="FF424242"/>
      <name val="Arial"/>
      <family val="0"/>
      <charset val="1"/>
    </font>
    <font>
      <b val="true"/>
      <sz val="10"/>
      <color rgb="FF2E7D32"/>
      <name val="Arial"/>
      <family val="0"/>
      <charset val="1"/>
    </font>
    <font>
      <i val="true"/>
      <sz val="8"/>
      <color rgb="FF2E7D32"/>
      <name val="Arial"/>
      <family val="0"/>
      <charset val="1"/>
    </font>
    <font>
      <b val="true"/>
      <sz val="10"/>
      <color rgb="FF1565C0"/>
      <name val="Arial"/>
      <family val="0"/>
      <charset val="1"/>
    </font>
    <font>
      <i val="true"/>
      <sz val="8"/>
      <color rgb="FF1565C0"/>
      <name val="Arial"/>
      <family val="0"/>
      <charset val="1"/>
    </font>
    <font>
      <b val="true"/>
      <sz val="10"/>
      <color rgb="FFC74634"/>
      <name val="Arial"/>
      <family val="0"/>
      <charset val="1"/>
    </font>
    <font>
      <i val="true"/>
      <sz val="8"/>
      <color rgb="FFC74634"/>
      <name val="Arial"/>
      <family val="0"/>
      <charset val="1"/>
    </font>
    <font>
      <b val="true"/>
      <sz val="10"/>
      <color rgb="FF8B0000"/>
      <name val="Arial"/>
      <family val="0"/>
      <charset val="1"/>
    </font>
    <font>
      <i val="true"/>
      <sz val="8"/>
      <color rgb="FF8B0000"/>
      <name val="Arial"/>
      <family val="0"/>
      <charset val="1"/>
    </font>
    <font>
      <sz val="9"/>
      <color rgb="FF2E7D32"/>
      <name val="Arial"/>
      <family val="0"/>
      <charset val="1"/>
    </font>
    <font>
      <sz val="9"/>
      <color rgb="FF00695C"/>
      <name val="Arial"/>
      <family val="0"/>
      <charset val="1"/>
    </font>
    <font>
      <b val="true"/>
      <sz val="9"/>
      <color rgb="FFFFFFFF"/>
      <name val="Arial"/>
      <family val="0"/>
      <charset val="1"/>
    </font>
    <font>
      <sz val="9"/>
      <color rgb="FF6A1B9A"/>
      <name val="Arial"/>
      <family val="0"/>
      <charset val="1"/>
    </font>
    <font>
      <sz val="9"/>
      <color rgb="FFFFFFFF"/>
      <name val="Arial"/>
      <family val="0"/>
      <charset val="1"/>
    </font>
    <font>
      <sz val="9"/>
      <color rgb="FF424242"/>
      <name val="Arial"/>
      <family val="0"/>
      <charset val="1"/>
    </font>
    <font>
      <sz val="9"/>
      <color rgb="FFC74634"/>
      <name val="Arial"/>
      <family val="0"/>
      <charset val="1"/>
    </font>
    <font>
      <sz val="9"/>
      <color rgb="FFF5A623"/>
      <name val="Arial"/>
      <family val="0"/>
      <charset val="1"/>
    </font>
    <font>
      <b val="true"/>
      <sz val="7"/>
      <color rgb="FFFFFFFF"/>
      <name val="Arial"/>
      <family val="0"/>
      <charset val="1"/>
    </font>
    <font>
      <b val="true"/>
      <sz val="11"/>
      <color rgb="FFFFFFFF"/>
      <name val="Arial"/>
      <family val="0"/>
      <charset val="1"/>
    </font>
    <font>
      <i val="true"/>
      <sz val="9"/>
      <color rgb="FF424242"/>
      <name val="Arial"/>
      <family val="0"/>
      <charset val="1"/>
    </font>
  </fonts>
  <fills count="17">
    <fill>
      <patternFill patternType="none"/>
    </fill>
    <fill>
      <patternFill patternType="gray125"/>
    </fill>
    <fill>
      <patternFill patternType="solid">
        <fgColor rgb="FF8B0000"/>
        <bgColor rgb="FF800000"/>
      </patternFill>
    </fill>
    <fill>
      <patternFill patternType="solid">
        <fgColor rgb="FFC74634"/>
        <bgColor rgb="FF993366"/>
      </patternFill>
    </fill>
    <fill>
      <patternFill patternType="solid">
        <fgColor rgb="FF1A237E"/>
        <bgColor rgb="FF333399"/>
      </patternFill>
    </fill>
    <fill>
      <patternFill patternType="solid">
        <fgColor rgb="FFFFF3CD"/>
        <bgColor rgb="FFFFFDE7"/>
      </patternFill>
    </fill>
    <fill>
      <patternFill patternType="solid">
        <fgColor rgb="FFF5F5F5"/>
        <bgColor rgb="FFE8F5E9"/>
      </patternFill>
    </fill>
    <fill>
      <patternFill patternType="solid">
        <fgColor rgb="FFE8F5E9"/>
        <bgColor rgb="FFE0F2F1"/>
      </patternFill>
    </fill>
    <fill>
      <patternFill patternType="solid">
        <fgColor rgb="FFE3F2FD"/>
        <bgColor rgb="FFE0F2F1"/>
      </patternFill>
    </fill>
    <fill>
      <patternFill patternType="solid">
        <fgColor rgb="FFE0F2F1"/>
        <bgColor rgb="FFE3F2FD"/>
      </patternFill>
    </fill>
    <fill>
      <patternFill patternType="solid">
        <fgColor rgb="FFF3E5F5"/>
        <bgColor rgb="FFF9E0DC"/>
      </patternFill>
    </fill>
    <fill>
      <patternFill patternType="solid">
        <fgColor rgb="FF424242"/>
        <bgColor rgb="FF333300"/>
      </patternFill>
    </fill>
    <fill>
      <patternFill patternType="solid">
        <fgColor rgb="FFFFFFFF"/>
        <bgColor rgb="FFFFFDE7"/>
      </patternFill>
    </fill>
    <fill>
      <patternFill patternType="solid">
        <fgColor rgb="FFF9E0DC"/>
        <bgColor rgb="FFF3E5F5"/>
      </patternFill>
    </fill>
    <fill>
      <patternFill patternType="solid">
        <fgColor rgb="FF00695C"/>
        <bgColor rgb="FF008080"/>
      </patternFill>
    </fill>
    <fill>
      <patternFill patternType="solid">
        <fgColor rgb="FF6A1B9A"/>
        <bgColor rgb="FF800080"/>
      </patternFill>
    </fill>
    <fill>
      <patternFill patternType="solid">
        <fgColor rgb="FFFFFDE7"/>
        <bgColor rgb="FFFFFFFF"/>
      </patternFill>
    </fill>
  </fills>
  <borders count="5">
    <border diagonalUp="false" diagonalDown="false">
      <left/>
      <right/>
      <top/>
      <bottom/>
      <diagonal/>
    </border>
    <border diagonalUp="false" diagonalDown="false">
      <left style="thin">
        <color rgb="FFBDBDBD"/>
      </left>
      <right/>
      <top style="thin">
        <color rgb="FFBDBDBD"/>
      </top>
      <bottom style="thin">
        <color rgb="FFBDBDBD"/>
      </bottom>
      <diagonal/>
    </border>
    <border diagonalUp="false" diagonalDown="false">
      <left style="thin">
        <color rgb="FFFFFFFF"/>
      </left>
      <right/>
      <top style="thin">
        <color rgb="FFFFFFFF"/>
      </top>
      <bottom style="thin">
        <color rgb="FFFFFFFF"/>
      </bottom>
      <diagonal/>
    </border>
    <border diagonalUp="false" diagonalDown="false">
      <left style="thin">
        <color rgb="FFBDBDBD"/>
      </left>
      <right style="thin">
        <color rgb="FFBDBDBD"/>
      </right>
      <top style="thin">
        <color rgb="FFBDBDBD"/>
      </top>
      <bottom style="thin">
        <color rgb="FFBDBDBD"/>
      </bottom>
      <diagonal/>
    </border>
    <border diagonalUp="false" diagonalDown="false">
      <left/>
      <right/>
      <top style="thin">
        <color rgb="FFBDBDBD"/>
      </top>
      <bottom style="thin">
        <color rgb="FFBDBDB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2"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8" fillId="6" borderId="3" xfId="0" applyFont="true" applyBorder="true" applyAlignment="true" applyProtection="false">
      <alignment horizontal="left" vertical="center" textRotation="0" wrapText="false" indent="0" shrinkToFit="false"/>
      <protection locked="true" hidden="false"/>
    </xf>
    <xf numFmtId="164" fontId="9" fillId="5" borderId="3" xfId="0" applyFont="true" applyBorder="true" applyAlignment="true" applyProtection="false">
      <alignment horizontal="center" vertical="center" textRotation="0" wrapText="false" indent="0" shrinkToFit="false"/>
      <protection locked="true" hidden="false"/>
    </xf>
    <xf numFmtId="164" fontId="10" fillId="6" borderId="3" xfId="0" applyFont="true" applyBorder="true" applyAlignment="true" applyProtection="false">
      <alignment horizontal="left" vertical="center" textRotation="0" wrapText="false" indent="0" shrinkToFit="false"/>
      <protection locked="true" hidden="false"/>
    </xf>
    <xf numFmtId="164" fontId="11" fillId="7" borderId="3"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false" indent="0" shrinkToFit="false"/>
      <protection locked="true" hidden="false"/>
    </xf>
    <xf numFmtId="164" fontId="12" fillId="6" borderId="3" xfId="0" applyFont="true" applyBorder="true" applyAlignment="true" applyProtection="false">
      <alignment horizontal="left" vertical="center" textRotation="0" wrapText="false" indent="0" shrinkToFit="false"/>
      <protection locked="true" hidden="false"/>
    </xf>
    <xf numFmtId="164" fontId="9" fillId="5" borderId="3" xfId="0" applyFont="true" applyBorder="true" applyAlignment="true" applyProtection="false">
      <alignment horizontal="left" vertical="center" textRotation="0" wrapText="false" indent="0" shrinkToFit="false"/>
      <protection locked="true" hidden="false"/>
    </xf>
    <xf numFmtId="164" fontId="13" fillId="8" borderId="3" xfId="0" applyFont="true" applyBorder="true" applyAlignment="true" applyProtection="false">
      <alignment horizontal="left" vertical="center" textRotation="0" wrapText="false" indent="0" shrinkToFit="false"/>
      <protection locked="true" hidden="false"/>
    </xf>
    <xf numFmtId="164" fontId="14" fillId="5" borderId="3" xfId="0" applyFont="true" applyBorder="true" applyAlignment="true" applyProtection="false">
      <alignment horizontal="left"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true" indent="0" shrinkToFit="false"/>
      <protection locked="true" hidden="false"/>
    </xf>
    <xf numFmtId="164" fontId="16" fillId="5" borderId="3" xfId="0" applyFont="true" applyBorder="true" applyAlignment="true" applyProtection="false">
      <alignment horizontal="center" vertical="center" textRotation="0" wrapText="false" indent="0" shrinkToFit="false"/>
      <protection locked="true" hidden="false"/>
    </xf>
    <xf numFmtId="164" fontId="14" fillId="8" borderId="3" xfId="0" applyFont="true" applyBorder="true" applyAlignment="true" applyProtection="false">
      <alignment horizontal="left" vertical="center" textRotation="0" wrapText="false" indent="0" shrinkToFit="false"/>
      <protection locked="true" hidden="false"/>
    </xf>
    <xf numFmtId="164" fontId="15" fillId="8" borderId="1" xfId="0" applyFont="true" applyBorder="true" applyAlignment="true" applyProtection="false">
      <alignment horizontal="left" vertical="center" textRotation="0" wrapText="true" indent="0" shrinkToFit="false"/>
      <protection locked="true" hidden="false"/>
    </xf>
    <xf numFmtId="164" fontId="16" fillId="8" borderId="3" xfId="0" applyFont="true" applyBorder="true" applyAlignment="true" applyProtection="false">
      <alignment horizontal="center" vertical="center" textRotation="0" wrapText="false" indent="0" shrinkToFit="false"/>
      <protection locked="true" hidden="false"/>
    </xf>
    <xf numFmtId="164" fontId="14" fillId="9" borderId="3" xfId="0" applyFont="true" applyBorder="true" applyAlignment="true" applyProtection="false">
      <alignment horizontal="left" vertical="center" textRotation="0" wrapText="false" indent="0" shrinkToFit="false"/>
      <protection locked="true" hidden="false"/>
    </xf>
    <xf numFmtId="164" fontId="15" fillId="9" borderId="1" xfId="0" applyFont="true" applyBorder="true" applyAlignment="true" applyProtection="false">
      <alignment horizontal="left" vertical="center" textRotation="0" wrapText="true" indent="0" shrinkToFit="false"/>
      <protection locked="true" hidden="false"/>
    </xf>
    <xf numFmtId="164" fontId="16" fillId="9" borderId="3" xfId="0" applyFont="true" applyBorder="true" applyAlignment="true" applyProtection="false">
      <alignment horizontal="center" vertical="center" textRotation="0" wrapText="false" indent="0" shrinkToFit="false"/>
      <protection locked="true" hidden="false"/>
    </xf>
    <xf numFmtId="164" fontId="14" fillId="10" borderId="3" xfId="0" applyFont="true" applyBorder="true" applyAlignment="true" applyProtection="false">
      <alignment horizontal="left" vertical="center" textRotation="0" wrapText="false" indent="0" shrinkToFit="false"/>
      <protection locked="true" hidden="false"/>
    </xf>
    <xf numFmtId="164" fontId="15" fillId="10" borderId="1" xfId="0" applyFont="true" applyBorder="true" applyAlignment="true" applyProtection="false">
      <alignment horizontal="left" vertical="center" textRotation="0" wrapText="true" indent="0" shrinkToFit="false"/>
      <protection locked="true" hidden="false"/>
    </xf>
    <xf numFmtId="164" fontId="16" fillId="10" borderId="3" xfId="0" applyFont="true" applyBorder="true" applyAlignment="true" applyProtection="false">
      <alignment horizontal="center" vertical="center" textRotation="0" wrapText="false" indent="0" shrinkToFit="false"/>
      <protection locked="true" hidden="false"/>
    </xf>
    <xf numFmtId="164" fontId="14" fillId="7" borderId="3" xfId="0" applyFont="true" applyBorder="true" applyAlignment="true" applyProtection="false">
      <alignment horizontal="left" vertical="center" textRotation="0" wrapText="false" indent="0" shrinkToFit="false"/>
      <protection locked="true" hidden="false"/>
    </xf>
    <xf numFmtId="164" fontId="15" fillId="7" borderId="1" xfId="0" applyFont="true" applyBorder="true" applyAlignment="true" applyProtection="false">
      <alignment horizontal="left" vertical="center" textRotation="0" wrapText="true" indent="0" shrinkToFit="false"/>
      <protection locked="true" hidden="false"/>
    </xf>
    <xf numFmtId="164" fontId="17" fillId="7" borderId="3" xfId="0" applyFont="true" applyBorder="true" applyAlignment="true" applyProtection="false">
      <alignment horizontal="center" vertical="center" textRotation="0" wrapText="false" indent="0" shrinkToFit="false"/>
      <protection locked="true" hidden="false"/>
    </xf>
    <xf numFmtId="164" fontId="18" fillId="11" borderId="3" xfId="0" applyFont="true" applyBorder="true" applyAlignment="true" applyProtection="false">
      <alignment horizontal="center" vertical="center" textRotation="0" wrapText="true" indent="0" shrinkToFit="false"/>
      <protection locked="true" hidden="false"/>
    </xf>
    <xf numFmtId="164" fontId="15" fillId="6" borderId="3" xfId="0" applyFont="true" applyBorder="true" applyAlignment="true" applyProtection="false">
      <alignment horizontal="left" vertical="center" textRotation="0" wrapText="false" indent="0" shrinkToFit="false"/>
      <protection locked="true" hidden="false"/>
    </xf>
    <xf numFmtId="165" fontId="9" fillId="5" borderId="3" xfId="0" applyFont="true" applyBorder="true" applyAlignment="true" applyProtection="false">
      <alignment horizontal="center" vertical="center" textRotation="0" wrapText="false" indent="0" shrinkToFit="false"/>
      <protection locked="true" hidden="false"/>
    </xf>
    <xf numFmtId="164" fontId="15" fillId="6" borderId="3" xfId="0" applyFont="true" applyBorder="true" applyAlignment="true" applyProtection="false">
      <alignment horizontal="center" vertical="center" textRotation="0" wrapText="false" indent="0" shrinkToFit="false"/>
      <protection locked="true" hidden="false"/>
    </xf>
    <xf numFmtId="164" fontId="19" fillId="6" borderId="3" xfId="0" applyFont="true" applyBorder="true" applyAlignment="true" applyProtection="false">
      <alignment horizontal="left" vertical="center" textRotation="0" wrapText="false" indent="0" shrinkToFit="false"/>
      <protection locked="true" hidden="false"/>
    </xf>
    <xf numFmtId="164" fontId="15" fillId="12" borderId="3" xfId="0" applyFont="true" applyBorder="true" applyAlignment="true" applyProtection="false">
      <alignment horizontal="left" vertical="center" textRotation="0" wrapText="false" indent="0" shrinkToFit="false"/>
      <protection locked="true" hidden="false"/>
    </xf>
    <xf numFmtId="164" fontId="15" fillId="12" borderId="3" xfId="0" applyFont="true" applyBorder="true" applyAlignment="true" applyProtection="false">
      <alignment horizontal="center" vertical="center" textRotation="0" wrapText="false" indent="0" shrinkToFit="false"/>
      <protection locked="true" hidden="false"/>
    </xf>
    <xf numFmtId="164" fontId="19" fillId="12" borderId="3" xfId="0" applyFont="true" applyBorder="true" applyAlignment="true" applyProtection="false">
      <alignment horizontal="left" vertical="center" textRotation="0" wrapText="false" indent="0" shrinkToFit="false"/>
      <protection locked="true" hidden="false"/>
    </xf>
    <xf numFmtId="166" fontId="9" fillId="5" borderId="3" xfId="0" applyFont="true" applyBorder="true" applyAlignment="true" applyProtection="false">
      <alignment horizontal="center" vertical="center" textRotation="0" wrapText="false" indent="0" shrinkToFit="false"/>
      <protection locked="true" hidden="false"/>
    </xf>
    <xf numFmtId="166" fontId="20" fillId="8" borderId="3" xfId="0" applyFont="true" applyBorder="true" applyAlignment="true" applyProtection="false">
      <alignment horizontal="center" vertical="center" textRotation="0" wrapText="false" indent="0" shrinkToFit="false"/>
      <protection locked="true" hidden="false"/>
    </xf>
    <xf numFmtId="164" fontId="21" fillId="8" borderId="3" xfId="0" applyFont="true" applyBorder="true" applyAlignment="true" applyProtection="false">
      <alignment horizontal="center" vertical="center" textRotation="0" wrapText="false" indent="0" shrinkToFit="false"/>
      <protection locked="true" hidden="false"/>
    </xf>
    <xf numFmtId="164" fontId="22" fillId="8" borderId="3" xfId="0" applyFont="true" applyBorder="true" applyAlignment="true" applyProtection="false">
      <alignment horizontal="center" vertical="center" textRotation="0" wrapText="false" indent="0" shrinkToFit="false"/>
      <protection locked="true" hidden="false"/>
    </xf>
    <xf numFmtId="164" fontId="14" fillId="12" borderId="3" xfId="0" applyFont="true" applyBorder="true" applyAlignment="true" applyProtection="false">
      <alignment horizontal="left" vertical="center" textRotation="0" wrapText="false" indent="0" shrinkToFit="false"/>
      <protection locked="true" hidden="false"/>
    </xf>
    <xf numFmtId="164" fontId="21" fillId="12" borderId="3" xfId="0" applyFont="true" applyBorder="true" applyAlignment="true" applyProtection="false">
      <alignment horizontal="center" vertical="center" textRotation="0" wrapText="false" indent="0" shrinkToFit="false"/>
      <protection locked="true" hidden="false"/>
    </xf>
    <xf numFmtId="164" fontId="22" fillId="12" borderId="3" xfId="0" applyFont="true" applyBorder="true" applyAlignment="true" applyProtection="false">
      <alignment horizontal="center" vertical="center" textRotation="0" wrapText="false" indent="0" shrinkToFit="false"/>
      <protection locked="true" hidden="false"/>
    </xf>
    <xf numFmtId="164" fontId="12" fillId="7" borderId="3" xfId="0" applyFont="true" applyBorder="true" applyAlignment="true" applyProtection="false">
      <alignment horizontal="left" vertical="center" textRotation="0" wrapText="false" indent="0" shrinkToFit="false"/>
      <protection locked="true" hidden="false"/>
    </xf>
    <xf numFmtId="164" fontId="12" fillId="7" borderId="3" xfId="0" applyFont="true" applyBorder="true" applyAlignment="true" applyProtection="false">
      <alignment horizontal="center" vertical="center" textRotation="0" wrapText="false" indent="0" shrinkToFit="false"/>
      <protection locked="true" hidden="false"/>
    </xf>
    <xf numFmtId="167" fontId="9" fillId="5" borderId="3" xfId="0" applyFont="true" applyBorder="true" applyAlignment="true" applyProtection="false">
      <alignment horizontal="center" vertical="center" textRotation="0" wrapText="false" indent="0" shrinkToFit="false"/>
      <protection locked="true" hidden="false"/>
    </xf>
    <xf numFmtId="167" fontId="23" fillId="7" borderId="3" xfId="0" applyFont="true" applyBorder="true" applyAlignment="true" applyProtection="false">
      <alignment horizontal="left" vertical="center" textRotation="0" wrapText="true" indent="0" shrinkToFit="false"/>
      <protection locked="true" hidden="false"/>
    </xf>
    <xf numFmtId="164" fontId="19" fillId="7" borderId="3" xfId="0" applyFont="true" applyBorder="true" applyAlignment="true" applyProtection="false">
      <alignment horizontal="left" vertical="center" textRotation="0" wrapText="true" indent="0" shrinkToFit="false"/>
      <protection locked="true" hidden="false"/>
    </xf>
    <xf numFmtId="164" fontId="12" fillId="8" borderId="3" xfId="0" applyFont="true" applyBorder="true" applyAlignment="true" applyProtection="false">
      <alignment horizontal="left" vertical="center" textRotation="0" wrapText="false" indent="0" shrinkToFit="false"/>
      <protection locked="true" hidden="false"/>
    </xf>
    <xf numFmtId="164" fontId="12" fillId="8" borderId="3" xfId="0" applyFont="true" applyBorder="true" applyAlignment="true" applyProtection="false">
      <alignment horizontal="center" vertical="center" textRotation="0" wrapText="false" indent="0" shrinkToFit="false"/>
      <protection locked="true" hidden="false"/>
    </xf>
    <xf numFmtId="167" fontId="23" fillId="8" borderId="3" xfId="0" applyFont="true" applyBorder="true" applyAlignment="true" applyProtection="false">
      <alignment horizontal="left" vertical="center" textRotation="0" wrapText="true" indent="0" shrinkToFit="false"/>
      <protection locked="true" hidden="false"/>
    </xf>
    <xf numFmtId="164" fontId="19" fillId="8" borderId="3" xfId="0" applyFont="true" applyBorder="true" applyAlignment="true" applyProtection="false">
      <alignment horizontal="left" vertical="center" textRotation="0" wrapText="true" indent="0" shrinkToFit="false"/>
      <protection locked="true" hidden="false"/>
    </xf>
    <xf numFmtId="164" fontId="12" fillId="5" borderId="3" xfId="0" applyFont="true" applyBorder="true" applyAlignment="true" applyProtection="false">
      <alignment horizontal="left" vertical="center" textRotation="0" wrapText="false" indent="0" shrinkToFit="false"/>
      <protection locked="true" hidden="false"/>
    </xf>
    <xf numFmtId="164" fontId="12" fillId="5" borderId="3" xfId="0" applyFont="true" applyBorder="true" applyAlignment="true" applyProtection="false">
      <alignment horizontal="center" vertical="center" textRotation="0" wrapText="false" indent="0" shrinkToFit="false"/>
      <protection locked="true" hidden="false"/>
    </xf>
    <xf numFmtId="167" fontId="23" fillId="5" borderId="3" xfId="0" applyFont="true" applyBorder="true" applyAlignment="true" applyProtection="false">
      <alignment horizontal="left" vertical="center" textRotation="0" wrapText="true" indent="0" shrinkToFit="false"/>
      <protection locked="true" hidden="false"/>
    </xf>
    <xf numFmtId="164" fontId="19" fillId="5" borderId="3" xfId="0" applyFont="true" applyBorder="true" applyAlignment="true" applyProtection="false">
      <alignment horizontal="left" vertical="center" textRotation="0" wrapText="true" indent="0" shrinkToFit="false"/>
      <protection locked="true" hidden="false"/>
    </xf>
    <xf numFmtId="164" fontId="12" fillId="13" borderId="3" xfId="0" applyFont="true" applyBorder="true" applyAlignment="true" applyProtection="false">
      <alignment horizontal="left" vertical="center" textRotation="0" wrapText="false" indent="0" shrinkToFit="false"/>
      <protection locked="true" hidden="false"/>
    </xf>
    <xf numFmtId="164" fontId="12" fillId="13" borderId="3" xfId="0" applyFont="true" applyBorder="true" applyAlignment="true" applyProtection="false">
      <alignment horizontal="center" vertical="center" textRotation="0" wrapText="false" indent="0" shrinkToFit="false"/>
      <protection locked="true" hidden="false"/>
    </xf>
    <xf numFmtId="167" fontId="23" fillId="13" borderId="3" xfId="0" applyFont="true" applyBorder="true" applyAlignment="true" applyProtection="false">
      <alignment horizontal="left" vertical="center" textRotation="0" wrapText="true" indent="0" shrinkToFit="false"/>
      <protection locked="true" hidden="false"/>
    </xf>
    <xf numFmtId="164" fontId="19" fillId="13" borderId="3" xfId="0" applyFont="true" applyBorder="true" applyAlignment="true" applyProtection="false">
      <alignment horizontal="left" vertical="center" textRotation="0" wrapText="true" indent="0"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4" fontId="24" fillId="8" borderId="1" xfId="0" applyFont="true" applyBorder="true" applyAlignment="true" applyProtection="false">
      <alignment horizontal="center" vertical="center" textRotation="0" wrapText="false" indent="0" shrinkToFit="false"/>
      <protection locked="true" hidden="false"/>
    </xf>
    <xf numFmtId="164" fontId="25" fillId="6"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19" fillId="5" borderId="1" xfId="0" applyFont="true" applyBorder="true" applyAlignment="true" applyProtection="false">
      <alignment horizontal="left" vertical="center" textRotation="0" wrapText="true" indent="0" shrinkToFit="false"/>
      <protection locked="true" hidden="false"/>
    </xf>
    <xf numFmtId="164" fontId="26" fillId="7" borderId="3" xfId="0" applyFont="true" applyBorder="true" applyAlignment="true" applyProtection="false">
      <alignment horizontal="center" vertical="center" textRotation="0" wrapText="false" indent="0" shrinkToFit="false"/>
      <protection locked="true" hidden="false"/>
    </xf>
    <xf numFmtId="164" fontId="23" fillId="7" borderId="3" xfId="0" applyFont="true" applyBorder="true" applyAlignment="true" applyProtection="false">
      <alignment horizontal="left" vertical="center" textRotation="0" wrapText="true" indent="0" shrinkToFit="false"/>
      <protection locked="true" hidden="false"/>
    </xf>
    <xf numFmtId="164" fontId="27" fillId="7" borderId="3" xfId="0" applyFont="true" applyBorder="true" applyAlignment="true" applyProtection="false">
      <alignment horizontal="left" vertical="center" textRotation="0" wrapText="true" indent="0" shrinkToFit="false"/>
      <protection locked="true" hidden="false"/>
    </xf>
    <xf numFmtId="164" fontId="28" fillId="8" borderId="3" xfId="0" applyFont="true" applyBorder="true" applyAlignment="true" applyProtection="false">
      <alignment horizontal="center" vertical="center" textRotation="0" wrapText="false" indent="0" shrinkToFit="false"/>
      <protection locked="true" hidden="false"/>
    </xf>
    <xf numFmtId="164" fontId="23" fillId="8" borderId="3" xfId="0" applyFont="true" applyBorder="true" applyAlignment="true" applyProtection="false">
      <alignment horizontal="left" vertical="center" textRotation="0" wrapText="true" indent="0" shrinkToFit="false"/>
      <protection locked="true" hidden="false"/>
    </xf>
    <xf numFmtId="164" fontId="29" fillId="8" borderId="3" xfId="0" applyFont="true" applyBorder="true" applyAlignment="true" applyProtection="false">
      <alignment horizontal="left" vertical="center" textRotation="0" wrapText="true" indent="0" shrinkToFit="false"/>
      <protection locked="true" hidden="false"/>
    </xf>
    <xf numFmtId="164" fontId="30" fillId="5" borderId="3" xfId="0" applyFont="true" applyBorder="true" applyAlignment="true" applyProtection="false">
      <alignment horizontal="center" vertical="center" textRotation="0" wrapText="false" indent="0" shrinkToFit="false"/>
      <protection locked="true" hidden="false"/>
    </xf>
    <xf numFmtId="164" fontId="23" fillId="5" borderId="3" xfId="0" applyFont="true" applyBorder="true" applyAlignment="true" applyProtection="false">
      <alignment horizontal="left" vertical="center" textRotation="0" wrapText="true" indent="0" shrinkToFit="false"/>
      <protection locked="true" hidden="false"/>
    </xf>
    <xf numFmtId="164" fontId="31" fillId="5" borderId="3" xfId="0" applyFont="true" applyBorder="true" applyAlignment="true" applyProtection="false">
      <alignment horizontal="left" vertical="center" textRotation="0" wrapText="true" indent="0" shrinkToFit="false"/>
      <protection locked="true" hidden="false"/>
    </xf>
    <xf numFmtId="164" fontId="32" fillId="13" borderId="3" xfId="0" applyFont="true" applyBorder="true" applyAlignment="true" applyProtection="false">
      <alignment horizontal="center" vertical="center" textRotation="0" wrapText="false" indent="0" shrinkToFit="false"/>
      <protection locked="true" hidden="false"/>
    </xf>
    <xf numFmtId="164" fontId="23" fillId="13" borderId="3" xfId="0" applyFont="true" applyBorder="true" applyAlignment="true" applyProtection="false">
      <alignment horizontal="left" vertical="center" textRotation="0" wrapText="true" indent="0" shrinkToFit="false"/>
      <protection locked="true" hidden="false"/>
    </xf>
    <xf numFmtId="164" fontId="33" fillId="13" borderId="3" xfId="0" applyFont="true" applyBorder="true" applyAlignment="true" applyProtection="false">
      <alignment horizontal="left" vertical="center" textRotation="0" wrapText="true" indent="0" shrinkToFit="false"/>
      <protection locked="true" hidden="false"/>
    </xf>
    <xf numFmtId="164" fontId="0" fillId="4" borderId="0" xfId="0" applyFont="false" applyBorder="true" applyAlignment="true" applyProtection="false">
      <alignment horizontal="general" vertical="bottom" textRotation="0" wrapText="false" indent="0" shrinkToFit="false"/>
      <protection locked="true" hidden="false"/>
    </xf>
    <xf numFmtId="164" fontId="14" fillId="6" borderId="3" xfId="0" applyFont="true" applyBorder="true" applyAlignment="true" applyProtection="false">
      <alignment horizontal="left" vertical="center" textRotation="0" wrapText="false" indent="0" shrinkToFit="false"/>
      <protection locked="true" hidden="false"/>
    </xf>
    <xf numFmtId="164" fontId="15" fillId="6" borderId="3" xfId="0" applyFont="true" applyBorder="true" applyAlignment="true" applyProtection="false">
      <alignment horizontal="left" vertical="center" textRotation="0" wrapText="true" indent="0" shrinkToFit="false"/>
      <protection locked="true" hidden="false"/>
    </xf>
    <xf numFmtId="168" fontId="9" fillId="5" borderId="3" xfId="0" applyFont="true" applyBorder="true" applyAlignment="true" applyProtection="false">
      <alignment horizontal="center" vertical="center" textRotation="0" wrapText="false" indent="0" shrinkToFit="false"/>
      <protection locked="true" hidden="false"/>
    </xf>
    <xf numFmtId="167" fontId="20" fillId="8" borderId="3" xfId="0" applyFont="true" applyBorder="true" applyAlignment="true" applyProtection="false">
      <alignment horizontal="center" vertical="center" textRotation="0" wrapText="false" indent="0" shrinkToFit="false"/>
      <protection locked="true" hidden="false"/>
    </xf>
    <xf numFmtId="169" fontId="34" fillId="7" borderId="3" xfId="0" applyFont="true" applyBorder="true" applyAlignment="true" applyProtection="false">
      <alignment horizontal="center" vertical="center" textRotation="0" wrapText="false" indent="0" shrinkToFit="false"/>
      <protection locked="true" hidden="false"/>
    </xf>
    <xf numFmtId="169" fontId="35" fillId="9" borderId="3" xfId="0" applyFont="true" applyBorder="true" applyAlignment="true" applyProtection="false">
      <alignment horizontal="center" vertical="center" textRotation="0" wrapText="false" indent="0" shrinkToFit="false"/>
      <protection locked="true" hidden="false"/>
    </xf>
    <xf numFmtId="169" fontId="11" fillId="7" borderId="3" xfId="0" applyFont="true" applyBorder="true" applyAlignment="true" applyProtection="false">
      <alignment horizontal="center" vertical="center" textRotation="0" wrapText="false" indent="0" shrinkToFit="false"/>
      <protection locked="true" hidden="false"/>
    </xf>
    <xf numFmtId="164" fontId="19" fillId="6" borderId="3" xfId="0" applyFont="true" applyBorder="true" applyAlignment="true" applyProtection="false">
      <alignment horizontal="center" vertical="center" textRotation="0" wrapText="false" indent="0" shrinkToFit="false"/>
      <protection locked="true" hidden="false"/>
    </xf>
    <xf numFmtId="164" fontId="21" fillId="6" borderId="3" xfId="0" applyFont="true" applyBorder="true" applyAlignment="true" applyProtection="false">
      <alignment horizontal="left" vertical="center" textRotation="0" wrapText="false" indent="0" shrinkToFit="false"/>
      <protection locked="true" hidden="false"/>
    </xf>
    <xf numFmtId="164" fontId="15" fillId="12" borderId="3" xfId="0" applyFont="true" applyBorder="true" applyAlignment="true" applyProtection="false">
      <alignment horizontal="left" vertical="center" textRotation="0" wrapText="true" indent="0" shrinkToFit="false"/>
      <protection locked="true" hidden="false"/>
    </xf>
    <xf numFmtId="164" fontId="19" fillId="12" borderId="3" xfId="0" applyFont="true" applyBorder="true" applyAlignment="true" applyProtection="false">
      <alignment horizontal="center" vertical="center" textRotation="0" wrapText="false" indent="0" shrinkToFit="false"/>
      <protection locked="true" hidden="false"/>
    </xf>
    <xf numFmtId="164" fontId="21" fillId="12" borderId="3"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right" vertical="center"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9" fontId="36" fillId="2" borderId="3" xfId="0" applyFont="true" applyBorder="true" applyAlignment="true" applyProtection="false">
      <alignment horizontal="center" vertical="bottom" textRotation="0" wrapText="false" indent="0" shrinkToFit="false"/>
      <protection locked="true" hidden="false"/>
    </xf>
    <xf numFmtId="164" fontId="36" fillId="3" borderId="1" xfId="0" applyFont="true" applyBorder="true" applyAlignment="true" applyProtection="false">
      <alignment horizontal="right" vertical="center" textRotation="0" wrapText="false" indent="0" shrinkToFit="false"/>
      <protection locked="true" hidden="false"/>
    </xf>
    <xf numFmtId="169" fontId="36" fillId="3" borderId="3" xfId="0" applyFont="true" applyBorder="true" applyAlignment="true" applyProtection="false">
      <alignment horizontal="center" vertical="bottom" textRotation="0" wrapText="false" indent="0" shrinkToFit="false"/>
      <protection locked="true" hidden="false"/>
    </xf>
    <xf numFmtId="164" fontId="19" fillId="9" borderId="1" xfId="0" applyFont="true" applyBorder="true" applyAlignment="true" applyProtection="false">
      <alignment horizontal="left" vertical="center" textRotation="0" wrapText="true" indent="0" shrinkToFit="false"/>
      <protection locked="true" hidden="false"/>
    </xf>
    <xf numFmtId="164" fontId="18" fillId="14" borderId="3" xfId="0" applyFont="true" applyBorder="true" applyAlignment="true" applyProtection="false">
      <alignment horizontal="center" vertical="center" textRotation="0" wrapText="true" indent="0" shrinkToFit="false"/>
      <protection locked="true" hidden="false"/>
    </xf>
    <xf numFmtId="164" fontId="22" fillId="6" borderId="3" xfId="0" applyFont="true" applyBorder="true" applyAlignment="true" applyProtection="false">
      <alignment horizontal="center" vertical="center" textRotation="0" wrapText="false" indent="0" shrinkToFit="false"/>
      <protection locked="true" hidden="false"/>
    </xf>
    <xf numFmtId="169" fontId="37" fillId="10" borderId="3" xfId="0" applyFont="true" applyBorder="true" applyAlignment="true" applyProtection="false">
      <alignment horizontal="center" vertical="center" textRotation="0" wrapText="false" indent="0" shrinkToFit="false"/>
      <protection locked="true" hidden="false"/>
    </xf>
    <xf numFmtId="164" fontId="19" fillId="10" borderId="1" xfId="0" applyFont="true" applyBorder="true" applyAlignment="true" applyProtection="false">
      <alignment horizontal="left" vertical="center" textRotation="0" wrapText="true" indent="0" shrinkToFit="false"/>
      <protection locked="true" hidden="false"/>
    </xf>
    <xf numFmtId="164" fontId="18" fillId="15" borderId="3" xfId="0" applyFont="true" applyBorder="true" applyAlignment="true" applyProtection="false">
      <alignment horizontal="center" vertical="center" textRotation="0" wrapText="true" indent="0" shrinkToFit="false"/>
      <protection locked="true" hidden="false"/>
    </xf>
    <xf numFmtId="164" fontId="36" fillId="11" borderId="3" xfId="0" applyFont="true" applyBorder="true" applyAlignment="true" applyProtection="false">
      <alignment horizontal="center" vertical="center" textRotation="0" wrapText="false" indent="0" shrinkToFit="false"/>
      <protection locked="true" hidden="false"/>
    </xf>
    <xf numFmtId="169" fontId="11" fillId="8" borderId="3" xfId="0" applyFont="true" applyBorder="true" applyAlignment="true" applyProtection="false">
      <alignment horizontal="center" vertical="center" textRotation="0" wrapText="false" indent="0" shrinkToFit="false"/>
      <protection locked="true" hidden="false"/>
    </xf>
    <xf numFmtId="169" fontId="20" fillId="8" borderId="3" xfId="0" applyFont="true" applyBorder="true" applyAlignment="true" applyProtection="false">
      <alignment horizontal="center" vertical="center" textRotation="0" wrapText="false" indent="0" shrinkToFit="false"/>
      <protection locked="true" hidden="false"/>
    </xf>
    <xf numFmtId="169" fontId="37" fillId="8" borderId="3" xfId="0" applyFont="true" applyBorder="true" applyAlignment="true" applyProtection="false">
      <alignment horizontal="center" vertical="center" textRotation="0" wrapText="false" indent="0" shrinkToFit="false"/>
      <protection locked="true" hidden="false"/>
    </xf>
    <xf numFmtId="164" fontId="19" fillId="8" borderId="1" xfId="0" applyFont="true" applyBorder="true" applyAlignment="true" applyProtection="false">
      <alignment horizontal="left" vertical="center" textRotation="0" wrapText="false" indent="0" shrinkToFit="false"/>
      <protection locked="true" hidden="false"/>
    </xf>
    <xf numFmtId="169" fontId="11" fillId="9" borderId="3" xfId="0" applyFont="true" applyBorder="true" applyAlignment="true" applyProtection="false">
      <alignment horizontal="center" vertical="center" textRotation="0" wrapText="false" indent="0" shrinkToFit="false"/>
      <protection locked="true" hidden="false"/>
    </xf>
    <xf numFmtId="169" fontId="20" fillId="9" borderId="3" xfId="0" applyFont="true" applyBorder="true" applyAlignment="true" applyProtection="false">
      <alignment horizontal="center" vertical="center" textRotation="0" wrapText="false" indent="0" shrinkToFit="false"/>
      <protection locked="true" hidden="false"/>
    </xf>
    <xf numFmtId="169" fontId="37" fillId="9" borderId="3" xfId="0" applyFont="true" applyBorder="true" applyAlignment="true" applyProtection="false">
      <alignment horizontal="center" vertical="center" textRotation="0" wrapText="false" indent="0" shrinkToFit="false"/>
      <protection locked="true" hidden="false"/>
    </xf>
    <xf numFmtId="164" fontId="19" fillId="9" borderId="1" xfId="0" applyFont="true" applyBorder="true" applyAlignment="true" applyProtection="false">
      <alignment horizontal="left" vertical="center" textRotation="0" wrapText="false" indent="0" shrinkToFit="false"/>
      <protection locked="true" hidden="false"/>
    </xf>
    <xf numFmtId="169" fontId="11" fillId="10" borderId="3" xfId="0" applyFont="true" applyBorder="true" applyAlignment="true" applyProtection="false">
      <alignment horizontal="center" vertical="center" textRotation="0" wrapText="false" indent="0" shrinkToFit="false"/>
      <protection locked="true" hidden="false"/>
    </xf>
    <xf numFmtId="169" fontId="20" fillId="10" borderId="3" xfId="0" applyFont="true" applyBorder="true" applyAlignment="true" applyProtection="false">
      <alignment horizontal="center" vertical="center" textRotation="0" wrapText="false" indent="0" shrinkToFit="false"/>
      <protection locked="true" hidden="false"/>
    </xf>
    <xf numFmtId="164" fontId="19" fillId="10" borderId="1" xfId="0" applyFont="true" applyBorder="true" applyAlignment="true" applyProtection="false">
      <alignment horizontal="left" vertical="center" textRotation="0" wrapText="false" indent="0" shrinkToFit="false"/>
      <protection locked="true" hidden="false"/>
    </xf>
    <xf numFmtId="164" fontId="6" fillId="2" borderId="3" xfId="0" applyFont="true" applyBorder="true" applyAlignment="true" applyProtection="false">
      <alignment horizontal="left" vertical="center" textRotation="0" wrapText="false" indent="0" shrinkToFit="false"/>
      <protection locked="true" hidden="false"/>
    </xf>
    <xf numFmtId="169" fontId="36" fillId="2" borderId="3" xfId="0" applyFont="true" applyBorder="true" applyAlignment="true" applyProtection="false">
      <alignment horizontal="center" vertical="center" textRotation="0" wrapText="false" indent="0" shrinkToFit="false"/>
      <protection locked="true" hidden="false"/>
    </xf>
    <xf numFmtId="169" fontId="38" fillId="2" borderId="3" xfId="0" applyFont="true" applyBorder="true" applyAlignment="true" applyProtection="false">
      <alignment horizontal="center" vertical="center" textRotation="0" wrapText="false" indent="0" shrinkToFit="false"/>
      <protection locked="true" hidden="false"/>
    </xf>
    <xf numFmtId="169" fontId="35" fillId="8" borderId="3" xfId="0" applyFont="true" applyBorder="true" applyAlignment="true" applyProtection="false">
      <alignment horizontal="center" vertical="center" textRotation="0" wrapText="false" indent="0" shrinkToFit="false"/>
      <protection locked="true" hidden="false"/>
    </xf>
    <xf numFmtId="170" fontId="39" fillId="8" borderId="3" xfId="0" applyFont="true" applyBorder="true" applyAlignment="true" applyProtection="false">
      <alignment horizontal="center" vertical="center" textRotation="0" wrapText="false" indent="0" shrinkToFit="false"/>
      <protection locked="true" hidden="false"/>
    </xf>
    <xf numFmtId="167" fontId="39" fillId="8" borderId="3" xfId="0" applyFont="true" applyBorder="true" applyAlignment="true" applyProtection="false">
      <alignment horizontal="center" vertical="center" textRotation="0" wrapText="false" indent="0" shrinkToFit="false"/>
      <protection locked="true" hidden="false"/>
    </xf>
    <xf numFmtId="167" fontId="40" fillId="8" borderId="3" xfId="0" applyFont="true" applyBorder="true" applyAlignment="true" applyProtection="false">
      <alignment horizontal="center" vertical="center" textRotation="0" wrapText="false" indent="0" shrinkToFit="false"/>
      <protection locked="true" hidden="false"/>
    </xf>
    <xf numFmtId="164" fontId="12" fillId="9" borderId="3" xfId="0" applyFont="true" applyBorder="true" applyAlignment="true" applyProtection="false">
      <alignment horizontal="left" vertical="center" textRotation="0" wrapText="false" indent="0" shrinkToFit="false"/>
      <protection locked="true" hidden="false"/>
    </xf>
    <xf numFmtId="170" fontId="39" fillId="9" borderId="3" xfId="0" applyFont="true" applyBorder="true" applyAlignment="true" applyProtection="false">
      <alignment horizontal="center" vertical="center" textRotation="0" wrapText="false" indent="0" shrinkToFit="false"/>
      <protection locked="true" hidden="false"/>
    </xf>
    <xf numFmtId="167" fontId="39" fillId="9" borderId="3" xfId="0" applyFont="true" applyBorder="true" applyAlignment="true" applyProtection="false">
      <alignment horizontal="center" vertical="center" textRotation="0" wrapText="false" indent="0" shrinkToFit="false"/>
      <protection locked="true" hidden="false"/>
    </xf>
    <xf numFmtId="167" fontId="40" fillId="9" borderId="3" xfId="0" applyFont="true" applyBorder="true" applyAlignment="true" applyProtection="false">
      <alignment horizontal="center" vertical="center" textRotation="0" wrapText="false" indent="0" shrinkToFit="false"/>
      <protection locked="true" hidden="false"/>
    </xf>
    <xf numFmtId="164" fontId="12" fillId="10" borderId="3" xfId="0" applyFont="true" applyBorder="true" applyAlignment="true" applyProtection="false">
      <alignment horizontal="left" vertical="center" textRotation="0" wrapText="false" indent="0" shrinkToFit="false"/>
      <protection locked="true" hidden="false"/>
    </xf>
    <xf numFmtId="169" fontId="35" fillId="10" borderId="3" xfId="0" applyFont="true" applyBorder="true" applyAlignment="true" applyProtection="false">
      <alignment horizontal="center" vertical="center" textRotation="0" wrapText="false" indent="0" shrinkToFit="false"/>
      <protection locked="true" hidden="false"/>
    </xf>
    <xf numFmtId="170" fontId="39" fillId="10" borderId="3" xfId="0" applyFont="true" applyBorder="true" applyAlignment="true" applyProtection="false">
      <alignment horizontal="center" vertical="center" textRotation="0" wrapText="false" indent="0" shrinkToFit="false"/>
      <protection locked="true" hidden="false"/>
    </xf>
    <xf numFmtId="167" fontId="39" fillId="10" borderId="3" xfId="0" applyFont="true" applyBorder="true" applyAlignment="true" applyProtection="false">
      <alignment horizontal="center" vertical="center" textRotation="0" wrapText="false" indent="0" shrinkToFit="false"/>
      <protection locked="true" hidden="false"/>
    </xf>
    <xf numFmtId="167" fontId="40" fillId="10" borderId="3" xfId="0" applyFont="true" applyBorder="true" applyAlignment="true" applyProtection="false">
      <alignment horizontal="center" vertical="center" textRotation="0" wrapText="false" indent="0" shrinkToFit="false"/>
      <protection locked="true" hidden="false"/>
    </xf>
    <xf numFmtId="169" fontId="20" fillId="5" borderId="3" xfId="0" applyFont="true" applyBorder="true" applyAlignment="true" applyProtection="false">
      <alignment horizontal="center" vertical="center" textRotation="0" wrapText="false" indent="0" shrinkToFit="false"/>
      <protection locked="true" hidden="false"/>
    </xf>
    <xf numFmtId="169" fontId="35" fillId="5" borderId="3" xfId="0" applyFont="true" applyBorder="true" applyAlignment="true" applyProtection="false">
      <alignment horizontal="center" vertical="center" textRotation="0" wrapText="false" indent="0" shrinkToFit="false"/>
      <protection locked="true" hidden="false"/>
    </xf>
    <xf numFmtId="169" fontId="37" fillId="5" borderId="3" xfId="0" applyFont="true" applyBorder="true" applyAlignment="true" applyProtection="false">
      <alignment horizontal="center" vertical="center" textRotation="0" wrapText="false" indent="0" shrinkToFit="false"/>
      <protection locked="true" hidden="false"/>
    </xf>
    <xf numFmtId="169" fontId="11" fillId="5" borderId="3" xfId="0" applyFont="true" applyBorder="true" applyAlignment="true" applyProtection="false">
      <alignment horizontal="center" vertical="center" textRotation="0" wrapText="false" indent="0" shrinkToFit="false"/>
      <protection locked="true" hidden="false"/>
    </xf>
    <xf numFmtId="170" fontId="39" fillId="5" borderId="3" xfId="0" applyFont="true" applyBorder="true" applyAlignment="true" applyProtection="false">
      <alignment horizontal="center" vertical="center" textRotation="0" wrapText="false" indent="0" shrinkToFit="false"/>
      <protection locked="true" hidden="false"/>
    </xf>
    <xf numFmtId="167" fontId="39" fillId="5" borderId="3" xfId="0" applyFont="true" applyBorder="true" applyAlignment="true" applyProtection="false">
      <alignment horizontal="center" vertical="center" textRotation="0" wrapText="false" indent="0" shrinkToFit="false"/>
      <protection locked="true" hidden="false"/>
    </xf>
    <xf numFmtId="167" fontId="40" fillId="5" borderId="3" xfId="0" applyFont="true" applyBorder="true" applyAlignment="true" applyProtection="false">
      <alignment horizontal="center" vertical="center" textRotation="0" wrapText="false" indent="0" shrinkToFit="false"/>
      <protection locked="true" hidden="false"/>
    </xf>
    <xf numFmtId="169" fontId="20" fillId="13" borderId="3" xfId="0" applyFont="true" applyBorder="true" applyAlignment="true" applyProtection="false">
      <alignment horizontal="center" vertical="center" textRotation="0" wrapText="false" indent="0" shrinkToFit="false"/>
      <protection locked="true" hidden="false"/>
    </xf>
    <xf numFmtId="169" fontId="35" fillId="13" borderId="3" xfId="0" applyFont="true" applyBorder="true" applyAlignment="true" applyProtection="false">
      <alignment horizontal="center" vertical="center" textRotation="0" wrapText="false" indent="0" shrinkToFit="false"/>
      <protection locked="true" hidden="false"/>
    </xf>
    <xf numFmtId="169" fontId="37" fillId="13" borderId="3" xfId="0" applyFont="true" applyBorder="true" applyAlignment="true" applyProtection="false">
      <alignment horizontal="center" vertical="center" textRotation="0" wrapText="false" indent="0" shrinkToFit="false"/>
      <protection locked="true" hidden="false"/>
    </xf>
    <xf numFmtId="169" fontId="11" fillId="13" borderId="3" xfId="0" applyFont="true" applyBorder="true" applyAlignment="true" applyProtection="false">
      <alignment horizontal="center" vertical="center" textRotation="0" wrapText="false" indent="0" shrinkToFit="false"/>
      <protection locked="true" hidden="false"/>
    </xf>
    <xf numFmtId="170" fontId="39" fillId="13" borderId="3" xfId="0" applyFont="true" applyBorder="true" applyAlignment="true" applyProtection="false">
      <alignment horizontal="center" vertical="center" textRotation="0" wrapText="false" indent="0" shrinkToFit="false"/>
      <protection locked="true" hidden="false"/>
    </xf>
    <xf numFmtId="167" fontId="39" fillId="13" borderId="3" xfId="0" applyFont="true" applyBorder="true" applyAlignment="true" applyProtection="false">
      <alignment horizontal="center" vertical="center" textRotation="0" wrapText="false" indent="0" shrinkToFit="false"/>
      <protection locked="true" hidden="false"/>
    </xf>
    <xf numFmtId="167" fontId="40" fillId="13" borderId="3" xfId="0" applyFont="true" applyBorder="true" applyAlignment="true" applyProtection="false">
      <alignment horizontal="center" vertical="center" textRotation="0" wrapText="false" indent="0" shrinkToFit="false"/>
      <protection locked="true" hidden="false"/>
    </xf>
    <xf numFmtId="169" fontId="20" fillId="7" borderId="3" xfId="0" applyFont="true" applyBorder="true" applyAlignment="true" applyProtection="false">
      <alignment horizontal="center" vertical="center" textRotation="0" wrapText="false" indent="0" shrinkToFit="false"/>
      <protection locked="true" hidden="false"/>
    </xf>
    <xf numFmtId="169" fontId="35" fillId="7" borderId="3" xfId="0" applyFont="true" applyBorder="true" applyAlignment="true" applyProtection="false">
      <alignment horizontal="center" vertical="center" textRotation="0" wrapText="false" indent="0" shrinkToFit="false"/>
      <protection locked="true" hidden="false"/>
    </xf>
    <xf numFmtId="169" fontId="37" fillId="7" borderId="3" xfId="0" applyFont="true" applyBorder="true" applyAlignment="true" applyProtection="false">
      <alignment horizontal="center" vertical="center" textRotation="0" wrapText="false" indent="0" shrinkToFit="false"/>
      <protection locked="true" hidden="false"/>
    </xf>
    <xf numFmtId="170" fontId="39" fillId="7" borderId="3" xfId="0" applyFont="true" applyBorder="true" applyAlignment="true" applyProtection="false">
      <alignment horizontal="center" vertical="center" textRotation="0" wrapText="false" indent="0" shrinkToFit="false"/>
      <protection locked="true" hidden="false"/>
    </xf>
    <xf numFmtId="167" fontId="39" fillId="7" borderId="3" xfId="0" applyFont="true" applyBorder="true" applyAlignment="true" applyProtection="false">
      <alignment horizontal="center" vertical="center" textRotation="0" wrapText="false" indent="0" shrinkToFit="false"/>
      <protection locked="true" hidden="false"/>
    </xf>
    <xf numFmtId="167" fontId="40" fillId="7" borderId="3" xfId="0" applyFont="true" applyBorder="true" applyAlignment="true" applyProtection="false">
      <alignment horizontal="center" vertical="center" textRotation="0" wrapText="false" indent="0" shrinkToFit="false"/>
      <protection locked="true" hidden="false"/>
    </xf>
    <xf numFmtId="169" fontId="20" fillId="6" borderId="3" xfId="0" applyFont="true" applyBorder="true" applyAlignment="true" applyProtection="false">
      <alignment horizontal="center" vertical="center" textRotation="0" wrapText="false" indent="0" shrinkToFit="false"/>
      <protection locked="true" hidden="false"/>
    </xf>
    <xf numFmtId="169" fontId="35" fillId="6" borderId="3" xfId="0" applyFont="true" applyBorder="true" applyAlignment="true" applyProtection="false">
      <alignment horizontal="center" vertical="center" textRotation="0" wrapText="false" indent="0" shrinkToFit="false"/>
      <protection locked="true" hidden="false"/>
    </xf>
    <xf numFmtId="169" fontId="37" fillId="6" borderId="3" xfId="0" applyFont="true" applyBorder="true" applyAlignment="true" applyProtection="false">
      <alignment horizontal="center" vertical="center" textRotation="0" wrapText="false" indent="0" shrinkToFit="false"/>
      <protection locked="true" hidden="false"/>
    </xf>
    <xf numFmtId="169" fontId="11" fillId="6" borderId="3" xfId="0" applyFont="true" applyBorder="true" applyAlignment="true" applyProtection="false">
      <alignment horizontal="center" vertical="center" textRotation="0" wrapText="false" indent="0" shrinkToFit="false"/>
      <protection locked="true" hidden="false"/>
    </xf>
    <xf numFmtId="170" fontId="39" fillId="6" borderId="3" xfId="0" applyFont="true" applyBorder="true" applyAlignment="true" applyProtection="false">
      <alignment horizontal="center" vertical="center" textRotation="0" wrapText="false" indent="0" shrinkToFit="false"/>
      <protection locked="true" hidden="false"/>
    </xf>
    <xf numFmtId="167" fontId="39" fillId="6" borderId="3" xfId="0" applyFont="true" applyBorder="true" applyAlignment="true" applyProtection="false">
      <alignment horizontal="center" vertical="center" textRotation="0" wrapText="false" indent="0" shrinkToFit="false"/>
      <protection locked="true" hidden="false"/>
    </xf>
    <xf numFmtId="167" fontId="40" fillId="6" borderId="3" xfId="0" applyFont="true" applyBorder="true" applyAlignment="true" applyProtection="false">
      <alignment horizontal="center" vertical="center" textRotation="0" wrapText="false" indent="0" shrinkToFit="false"/>
      <protection locked="true" hidden="false"/>
    </xf>
    <xf numFmtId="164" fontId="18" fillId="11" borderId="3" xfId="0" applyFont="true" applyBorder="true" applyAlignment="true" applyProtection="false">
      <alignment horizontal="center" vertical="center" textRotation="0" wrapText="false" indent="0" shrinkToFit="false"/>
      <protection locked="true" hidden="false"/>
    </xf>
    <xf numFmtId="164" fontId="18" fillId="11" borderId="1" xfId="0" applyFont="true" applyBorder="true" applyAlignment="true" applyProtection="false">
      <alignment horizontal="center" vertical="center" textRotation="0" wrapText="false" indent="0" shrinkToFit="false"/>
      <protection locked="true" hidden="false"/>
    </xf>
    <xf numFmtId="164" fontId="21" fillId="6" borderId="3" xfId="0" applyFont="true" applyBorder="true" applyAlignment="true" applyProtection="false">
      <alignment horizontal="center" vertical="center" textRotation="0" wrapText="false" indent="0" shrinkToFit="false"/>
      <protection locked="true" hidden="false"/>
    </xf>
    <xf numFmtId="164" fontId="22" fillId="9" borderId="3" xfId="0" applyFont="true" applyBorder="true" applyAlignment="true" applyProtection="false">
      <alignment horizontal="center" vertical="center" textRotation="0" wrapText="false" indent="0" shrinkToFit="false"/>
      <protection locked="true" hidden="false"/>
    </xf>
    <xf numFmtId="164" fontId="22" fillId="10" borderId="3" xfId="0" applyFont="true" applyBorder="true" applyAlignment="true" applyProtection="false">
      <alignment horizontal="center" vertical="center" textRotation="0" wrapText="false" indent="0" shrinkToFit="false"/>
      <protection locked="true" hidden="false"/>
    </xf>
    <xf numFmtId="164" fontId="19" fillId="6" borderId="1" xfId="0" applyFont="true" applyBorder="true" applyAlignment="true" applyProtection="false">
      <alignment horizontal="left" vertical="center" textRotation="0" wrapText="true" indent="0" shrinkToFit="false"/>
      <protection locked="true" hidden="false"/>
    </xf>
    <xf numFmtId="164" fontId="19" fillId="12" borderId="1" xfId="0" applyFont="true" applyBorder="true" applyAlignment="true" applyProtection="false">
      <alignment horizontal="left" vertical="center" textRotation="0" wrapText="true" indent="0" shrinkToFit="false"/>
      <protection locked="true" hidden="false"/>
    </xf>
    <xf numFmtId="167" fontId="41" fillId="5" borderId="3" xfId="0" applyFont="true" applyBorder="true" applyAlignment="true" applyProtection="false">
      <alignment horizontal="center" vertical="center" textRotation="0" wrapText="false" indent="0" shrinkToFit="false"/>
      <protection locked="true" hidden="false"/>
    </xf>
    <xf numFmtId="170" fontId="39" fillId="12" borderId="3" xfId="0" applyFont="true" applyBorder="true" applyAlignment="true" applyProtection="false">
      <alignment horizontal="center" vertical="center" textRotation="0" wrapText="false" indent="0" shrinkToFit="false"/>
      <protection locked="true" hidden="false"/>
    </xf>
    <xf numFmtId="164" fontId="0" fillId="2" borderId="0" xfId="0" applyFont="true" applyBorder="false" applyAlignment="true" applyProtection="false">
      <alignment horizontal="general" vertical="bottom" textRotation="0" wrapText="false" indent="0" shrinkToFit="false"/>
      <protection locked="true" hidden="false"/>
    </xf>
    <xf numFmtId="164" fontId="18" fillId="11" borderId="3" xfId="0" applyFont="true" applyBorder="true" applyAlignment="true" applyProtection="false">
      <alignment horizontal="left" vertical="center" textRotation="0" wrapText="false" indent="0" shrinkToFit="false"/>
      <protection locked="true" hidden="false"/>
    </xf>
    <xf numFmtId="164" fontId="42" fillId="11" borderId="3" xfId="0" applyFont="true" applyBorder="true" applyAlignment="true" applyProtection="false">
      <alignment horizontal="center" vertical="center" textRotation="0" wrapText="false" indent="0" shrinkToFit="false"/>
      <protection locked="true" hidden="false"/>
    </xf>
    <xf numFmtId="164" fontId="22" fillId="6" borderId="3" xfId="0" applyFont="true" applyBorder="true" applyAlignment="true" applyProtection="false">
      <alignment horizontal="left" vertical="center" textRotation="0" wrapText="false" indent="0" shrinkToFit="false"/>
      <protection locked="true" hidden="false"/>
    </xf>
    <xf numFmtId="164" fontId="23" fillId="7" borderId="3" xfId="0" applyFont="true" applyBorder="true" applyAlignment="true" applyProtection="false">
      <alignment horizontal="center" vertical="center" textRotation="0" wrapText="false" indent="0" shrinkToFit="false"/>
      <protection locked="true" hidden="false"/>
    </xf>
    <xf numFmtId="164" fontId="22" fillId="12" borderId="3" xfId="0" applyFont="true" applyBorder="true" applyAlignment="true" applyProtection="false">
      <alignment horizontal="left" vertical="center" textRotation="0" wrapText="false" indent="0" shrinkToFit="false"/>
      <protection locked="true" hidden="false"/>
    </xf>
    <xf numFmtId="164" fontId="23" fillId="6" borderId="3" xfId="0" applyFont="true" applyBorder="true" applyAlignment="true" applyProtection="false">
      <alignment horizontal="center" vertical="center" textRotation="0" wrapText="false" indent="0" shrinkToFit="false"/>
      <protection locked="true" hidden="false"/>
    </xf>
    <xf numFmtId="164" fontId="23" fillId="12" borderId="3" xfId="0" applyFont="true" applyBorder="true" applyAlignment="true" applyProtection="false">
      <alignment horizontal="center" vertical="center" textRotation="0" wrapText="false" indent="0" shrinkToFit="false"/>
      <protection locked="true" hidden="false"/>
    </xf>
    <xf numFmtId="164" fontId="36" fillId="11" borderId="3" xfId="0" applyFont="true" applyBorder="true" applyAlignment="true" applyProtection="false">
      <alignment horizontal="center" vertical="center" textRotation="0" wrapText="true" indent="0" shrinkToFit="false"/>
      <protection locked="true" hidden="false"/>
    </xf>
    <xf numFmtId="166" fontId="34" fillId="7" borderId="3" xfId="0" applyFont="true" applyBorder="true" applyAlignment="true" applyProtection="false">
      <alignment horizontal="center" vertical="center" textRotation="0" wrapText="false" indent="0" shrinkToFit="false"/>
      <protection locked="true" hidden="false"/>
    </xf>
    <xf numFmtId="166" fontId="41" fillId="5" borderId="3" xfId="0" applyFont="true" applyBorder="true" applyAlignment="true" applyProtection="false">
      <alignment horizontal="center" vertical="center" textRotation="0" wrapText="false" indent="0" shrinkToFit="false"/>
      <protection locked="true" hidden="false"/>
    </xf>
    <xf numFmtId="166" fontId="11" fillId="7" borderId="3" xfId="0" applyFont="true" applyBorder="true" applyAlignment="true" applyProtection="false">
      <alignment horizontal="center" vertical="center" textRotation="0" wrapText="false" indent="0" shrinkToFit="false"/>
      <protection locked="true" hidden="false"/>
    </xf>
    <xf numFmtId="164" fontId="43" fillId="2" borderId="3" xfId="0" applyFont="true" applyBorder="true" applyAlignment="true" applyProtection="false">
      <alignment horizontal="left" vertical="center" textRotation="0" wrapText="false" indent="0" shrinkToFit="false"/>
      <protection locked="true" hidden="false"/>
    </xf>
    <xf numFmtId="166" fontId="36" fillId="2" borderId="3" xfId="0" applyFont="true" applyBorder="true" applyAlignment="true" applyProtection="false">
      <alignment horizontal="center" vertical="center" textRotation="0" wrapText="false" indent="0" shrinkToFit="false"/>
      <protection locked="true" hidden="false"/>
    </xf>
    <xf numFmtId="171" fontId="15" fillId="5" borderId="3" xfId="0" applyFont="true" applyBorder="true" applyAlignment="true" applyProtection="false">
      <alignment horizontal="center" vertical="center" textRotation="0" wrapText="false" indent="0" shrinkToFit="false"/>
      <protection locked="true" hidden="false"/>
    </xf>
    <xf numFmtId="166" fontId="35" fillId="9" borderId="3" xfId="0" applyFont="true" applyBorder="true" applyAlignment="true" applyProtection="false">
      <alignment horizontal="center" vertical="center" textRotation="0" wrapText="false" indent="0" shrinkToFit="false"/>
      <protection locked="true" hidden="false"/>
    </xf>
    <xf numFmtId="166" fontId="37" fillId="10" borderId="3" xfId="0" applyFont="true" applyBorder="true" applyAlignment="true" applyProtection="false">
      <alignment horizontal="center" vertical="center" textRotation="0" wrapText="false" indent="0" shrinkToFit="false"/>
      <protection locked="true" hidden="false"/>
    </xf>
    <xf numFmtId="164" fontId="44" fillId="16"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B0000"/>
      <rgbColor rgb="FF008000"/>
      <rgbColor rgb="FF000080"/>
      <rgbColor rgb="FF808000"/>
      <rgbColor rgb="FF6A1B9A"/>
      <rgbColor rgb="FF00695C"/>
      <rgbColor rgb="FFBDBDBD"/>
      <rgbColor rgb="FF757575"/>
      <rgbColor rgb="FF9999FF"/>
      <rgbColor rgb="FFC74634"/>
      <rgbColor rgb="FFFFFDE7"/>
      <rgbColor rgb="FFE0F2F1"/>
      <rgbColor rgb="FF660066"/>
      <rgbColor rgb="FFFF8080"/>
      <rgbColor rgb="FF1565C0"/>
      <rgbColor rgb="FFF3E5F5"/>
      <rgbColor rgb="FF000080"/>
      <rgbColor rgb="FFFF00FF"/>
      <rgbColor rgb="FFFFFF00"/>
      <rgbColor rgb="FF00FFFF"/>
      <rgbColor rgb="FF800080"/>
      <rgbColor rgb="FF800000"/>
      <rgbColor rgb="FF008080"/>
      <rgbColor rgb="FF0000FF"/>
      <rgbColor rgb="FF00CCFF"/>
      <rgbColor rgb="FFE3F2FD"/>
      <rgbColor rgb="FFE8F5E9"/>
      <rgbColor rgb="FFFFF3CD"/>
      <rgbColor rgb="FFF5F5F5"/>
      <rgbColor rgb="FFFF99CC"/>
      <rgbColor rgb="FFCC99FF"/>
      <rgbColor rgb="FFF9E0DC"/>
      <rgbColor rgb="FF3366FF"/>
      <rgbColor rgb="FF33CCCC"/>
      <rgbColor rgb="FF99CC00"/>
      <rgbColor rgb="FFFFCC00"/>
      <rgbColor rgb="FFF5A623"/>
      <rgbColor rgb="FFFF6600"/>
      <rgbColor rgb="FF666699"/>
      <rgbColor rgb="FF969696"/>
      <rgbColor rgb="FF1A237E"/>
      <rgbColor rgb="FF2E7D32"/>
      <rgbColor rgb="FF003300"/>
      <rgbColor rgb="FF333300"/>
      <rgbColor rgb="FF993300"/>
      <rgbColor rgb="FF993366"/>
      <rgbColor rgb="FF333399"/>
      <rgbColor rgb="FF424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0000"/>
    <pageSetUpPr fitToPage="false"/>
  </sheetPr>
  <dimension ref="B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3" min="3" style="1" width="28"/>
    <col collapsed="false" customWidth="true" hidden="false" outlineLevel="0" max="5" min="4" style="1" width="22"/>
    <col collapsed="false" customWidth="true" hidden="false" outlineLevel="0" max="6" min="6" style="1" width="18"/>
  </cols>
  <sheetData>
    <row r="1" customFormat="false" ht="48" hidden="false" customHeight="true" outlineLevel="0" collapsed="false">
      <c r="B1" s="2" t="s">
        <v>0</v>
      </c>
      <c r="C1" s="2"/>
      <c r="D1" s="2"/>
      <c r="E1" s="2"/>
      <c r="F1" s="2"/>
    </row>
    <row r="2" customFormat="false" ht="21.75" hidden="false" customHeight="true" outlineLevel="0" collapsed="false">
      <c r="B2" s="3" t="s">
        <v>1</v>
      </c>
      <c r="C2" s="3"/>
      <c r="D2" s="3"/>
      <c r="E2" s="3"/>
      <c r="F2" s="3"/>
    </row>
    <row r="4" customFormat="false" ht="24" hidden="false" customHeight="true" outlineLevel="0" collapsed="false">
      <c r="B4" s="4" t="s">
        <v>2</v>
      </c>
      <c r="C4" s="4"/>
      <c r="D4" s="4"/>
      <c r="E4" s="4"/>
      <c r="F4" s="4"/>
    </row>
    <row r="5" customFormat="false" ht="51.75" hidden="false" customHeight="true" outlineLevel="0" collapsed="false">
      <c r="B5" s="5" t="s">
        <v>3</v>
      </c>
      <c r="C5" s="5"/>
      <c r="D5" s="5"/>
      <c r="E5" s="5"/>
      <c r="F5" s="5"/>
    </row>
    <row r="6" customFormat="false" ht="33.75" hidden="false" customHeight="true" outlineLevel="0" collapsed="false">
      <c r="B6" s="6" t="s">
        <v>4</v>
      </c>
      <c r="C6" s="7" t="s">
        <v>5</v>
      </c>
      <c r="D6" s="7"/>
      <c r="E6" s="7"/>
      <c r="F6" s="7"/>
    </row>
    <row r="7" customFormat="false" ht="21.75" hidden="false" customHeight="true" outlineLevel="0" collapsed="false">
      <c r="B7" s="8" t="s">
        <v>6</v>
      </c>
      <c r="C7" s="9" t="str">
        <f aca="false">IF(C6="D","✔  You are in the right workbook — proceed with Detailed Estimation below",IF(C6="H","→  Use the High-Level Estimator (Oracle_Fusion_Estimator.xlsx)","⚠  Enter H or D"))</f>
        <v>✔  You are in the right workbook — proceed with Detailed Estimation below</v>
      </c>
      <c r="D7" s="9"/>
      <c r="E7" s="9"/>
      <c r="F7" s="9"/>
    </row>
    <row r="9" customFormat="false" ht="24" hidden="false" customHeight="true" outlineLevel="0" collapsed="false">
      <c r="B9" s="10" t="s">
        <v>7</v>
      </c>
      <c r="C9" s="10"/>
      <c r="D9" s="10"/>
      <c r="E9" s="10"/>
      <c r="F9" s="10"/>
    </row>
    <row r="10" customFormat="false" ht="21.75" hidden="false" customHeight="true" outlineLevel="0" collapsed="false">
      <c r="B10" s="11" t="s">
        <v>8</v>
      </c>
      <c r="C10" s="12" t="s">
        <v>9</v>
      </c>
      <c r="D10" s="12"/>
      <c r="E10" s="12"/>
      <c r="F10" s="12"/>
    </row>
    <row r="11" customFormat="false" ht="21.75" hidden="false" customHeight="true" outlineLevel="0" collapsed="false">
      <c r="B11" s="11" t="s">
        <v>10</v>
      </c>
      <c r="C11" s="12" t="s">
        <v>11</v>
      </c>
      <c r="D11" s="12"/>
      <c r="E11" s="12"/>
      <c r="F11" s="12"/>
    </row>
    <row r="12" customFormat="false" ht="21.75" hidden="false" customHeight="true" outlineLevel="0" collapsed="false">
      <c r="B12" s="11" t="s">
        <v>12</v>
      </c>
      <c r="C12" s="13" t="n">
        <v>3</v>
      </c>
      <c r="D12" s="13"/>
      <c r="E12" s="13"/>
      <c r="F12" s="13"/>
    </row>
    <row r="13" customFormat="false" ht="21.75" hidden="false" customHeight="true" outlineLevel="0" collapsed="false">
      <c r="B13" s="11" t="s">
        <v>13</v>
      </c>
      <c r="C13" s="12" t="s">
        <v>14</v>
      </c>
      <c r="D13" s="12"/>
      <c r="E13" s="12"/>
      <c r="F13" s="12"/>
    </row>
    <row r="14" customFormat="false" ht="21.75" hidden="false" customHeight="true" outlineLevel="0" collapsed="false">
      <c r="B14" s="11" t="s">
        <v>15</v>
      </c>
      <c r="C14" s="13" t="s">
        <v>16</v>
      </c>
      <c r="D14" s="13"/>
      <c r="E14" s="13"/>
      <c r="F14" s="13"/>
    </row>
    <row r="15" customFormat="false" ht="21.75" hidden="false" customHeight="true" outlineLevel="0" collapsed="false">
      <c r="B15" s="11" t="s">
        <v>17</v>
      </c>
      <c r="C15" s="12" t="s">
        <v>18</v>
      </c>
      <c r="D15" s="12"/>
      <c r="E15" s="12"/>
      <c r="F15" s="12"/>
    </row>
    <row r="16" customFormat="false" ht="21.75" hidden="false" customHeight="true" outlineLevel="0" collapsed="false">
      <c r="B16" s="11" t="s">
        <v>19</v>
      </c>
      <c r="C16" s="12" t="s">
        <v>20</v>
      </c>
      <c r="D16" s="12"/>
      <c r="E16" s="12"/>
      <c r="F16" s="12"/>
    </row>
    <row r="17" customFormat="false" ht="21.75" hidden="false" customHeight="true" outlineLevel="0" collapsed="false">
      <c r="B17" s="11" t="s">
        <v>21</v>
      </c>
      <c r="C17" s="13" t="s">
        <v>22</v>
      </c>
      <c r="D17" s="13"/>
      <c r="E17" s="13"/>
      <c r="F17" s="13"/>
    </row>
    <row r="19" customFormat="false" ht="24" hidden="false" customHeight="true" outlineLevel="0" collapsed="false">
      <c r="B19" s="10" t="s">
        <v>23</v>
      </c>
      <c r="C19" s="10"/>
      <c r="D19" s="10"/>
      <c r="E19" s="10"/>
      <c r="F19" s="10"/>
    </row>
    <row r="20" customFormat="false" ht="21.75" hidden="false" customHeight="true" outlineLevel="0" collapsed="false">
      <c r="B20" s="14" t="s">
        <v>24</v>
      </c>
      <c r="C20" s="15" t="s">
        <v>25</v>
      </c>
      <c r="D20" s="15"/>
      <c r="E20" s="15"/>
      <c r="F20" s="16" t="s">
        <v>26</v>
      </c>
    </row>
    <row r="21" customFormat="false" ht="21.75" hidden="false" customHeight="true" outlineLevel="0" collapsed="false">
      <c r="B21" s="14" t="s">
        <v>27</v>
      </c>
      <c r="C21" s="15" t="s">
        <v>28</v>
      </c>
      <c r="D21" s="15"/>
      <c r="E21" s="15"/>
      <c r="F21" s="16" t="s">
        <v>26</v>
      </c>
    </row>
    <row r="22" customFormat="false" ht="21.75" hidden="false" customHeight="true" outlineLevel="0" collapsed="false">
      <c r="B22" s="17" t="s">
        <v>29</v>
      </c>
      <c r="C22" s="18" t="s">
        <v>30</v>
      </c>
      <c r="D22" s="18"/>
      <c r="E22" s="18"/>
      <c r="F22" s="19" t="s">
        <v>31</v>
      </c>
    </row>
    <row r="23" customFormat="false" ht="21.75" hidden="false" customHeight="true" outlineLevel="0" collapsed="false">
      <c r="B23" s="20" t="s">
        <v>32</v>
      </c>
      <c r="C23" s="21" t="s">
        <v>33</v>
      </c>
      <c r="D23" s="21"/>
      <c r="E23" s="21"/>
      <c r="F23" s="22" t="s">
        <v>31</v>
      </c>
    </row>
    <row r="24" customFormat="false" ht="21.75" hidden="false" customHeight="true" outlineLevel="0" collapsed="false">
      <c r="B24" s="23" t="s">
        <v>34</v>
      </c>
      <c r="C24" s="24" t="s">
        <v>35</v>
      </c>
      <c r="D24" s="24"/>
      <c r="E24" s="24"/>
      <c r="F24" s="25" t="s">
        <v>31</v>
      </c>
    </row>
    <row r="25" customFormat="false" ht="21.75" hidden="false" customHeight="true" outlineLevel="0" collapsed="false">
      <c r="B25" s="26" t="s">
        <v>36</v>
      </c>
      <c r="C25" s="27" t="s">
        <v>37</v>
      </c>
      <c r="D25" s="27"/>
      <c r="E25" s="27"/>
      <c r="F25" s="28" t="s">
        <v>38</v>
      </c>
    </row>
    <row r="26" customFormat="false" ht="21.75" hidden="false" customHeight="true" outlineLevel="0" collapsed="false">
      <c r="B26" s="26" t="s">
        <v>39</v>
      </c>
      <c r="C26" s="27" t="s">
        <v>40</v>
      </c>
      <c r="D26" s="27"/>
      <c r="E26" s="27"/>
      <c r="F26" s="28" t="s">
        <v>38</v>
      </c>
    </row>
    <row r="27" customFormat="false" ht="21.75" hidden="false" customHeight="true" outlineLevel="0" collapsed="false">
      <c r="B27" s="26" t="s">
        <v>41</v>
      </c>
      <c r="C27" s="27" t="s">
        <v>42</v>
      </c>
      <c r="D27" s="27"/>
      <c r="E27" s="27"/>
      <c r="F27" s="28" t="s">
        <v>38</v>
      </c>
    </row>
  </sheetData>
  <mergeCells count="24">
    <mergeCell ref="B1:F1"/>
    <mergeCell ref="B2:F2"/>
    <mergeCell ref="B4:F4"/>
    <mergeCell ref="B5:F5"/>
    <mergeCell ref="C6:F6"/>
    <mergeCell ref="C7:F7"/>
    <mergeCell ref="B9:F9"/>
    <mergeCell ref="C10:F10"/>
    <mergeCell ref="C11:F11"/>
    <mergeCell ref="C12:F12"/>
    <mergeCell ref="C13:F13"/>
    <mergeCell ref="C14:F14"/>
    <mergeCell ref="C15:F15"/>
    <mergeCell ref="C16:F16"/>
    <mergeCell ref="C17:F17"/>
    <mergeCell ref="B19:F19"/>
    <mergeCell ref="C20:E20"/>
    <mergeCell ref="C21:E21"/>
    <mergeCell ref="C22:E22"/>
    <mergeCell ref="C23:E23"/>
    <mergeCell ref="C24:E24"/>
    <mergeCell ref="C25:E25"/>
    <mergeCell ref="C26:E26"/>
    <mergeCell ref="C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A623"/>
    <pageSetUpPr fitToPage="false"/>
  </sheetPr>
  <dimension ref="B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6"/>
    <col collapsed="false" customWidth="true" hidden="false" outlineLevel="0" max="3" min="3" style="1" width="16"/>
    <col collapsed="false" customWidth="true" hidden="false" outlineLevel="0" max="6" min="4" style="1" width="12"/>
    <col collapsed="false" customWidth="true" hidden="false" outlineLevel="0" max="7" min="7" style="1" width="36"/>
  </cols>
  <sheetData>
    <row r="1" customFormat="false" ht="48" hidden="false" customHeight="true" outlineLevel="0" collapsed="false">
      <c r="B1" s="2" t="s">
        <v>43</v>
      </c>
      <c r="C1" s="2"/>
      <c r="D1" s="2"/>
      <c r="E1" s="2"/>
      <c r="F1" s="2"/>
      <c r="G1" s="2"/>
    </row>
    <row r="2" customFormat="false" ht="21.75" hidden="false" customHeight="true" outlineLevel="0" collapsed="false">
      <c r="B2" s="3" t="s">
        <v>44</v>
      </c>
      <c r="C2" s="3"/>
      <c r="D2" s="3"/>
      <c r="E2" s="3"/>
      <c r="F2" s="3"/>
      <c r="G2" s="3"/>
    </row>
    <row r="4" customFormat="false" ht="24" hidden="false" customHeight="true" outlineLevel="0" collapsed="false">
      <c r="B4" s="10" t="s">
        <v>45</v>
      </c>
      <c r="C4" s="10"/>
      <c r="D4" s="10"/>
      <c r="E4" s="10"/>
      <c r="F4" s="10"/>
      <c r="G4" s="10"/>
    </row>
    <row r="5" customFormat="false" ht="21.75" hidden="false" customHeight="true" outlineLevel="0" collapsed="false">
      <c r="B5" s="29" t="s">
        <v>46</v>
      </c>
      <c r="C5" s="29" t="s">
        <v>47</v>
      </c>
      <c r="D5" s="29" t="s">
        <v>48</v>
      </c>
      <c r="E5" s="29" t="s">
        <v>49</v>
      </c>
      <c r="F5" s="29" t="s">
        <v>50</v>
      </c>
      <c r="G5" s="29" t="s">
        <v>51</v>
      </c>
    </row>
    <row r="6" customFormat="false" ht="19.5" hidden="false" customHeight="true" outlineLevel="0" collapsed="false">
      <c r="B6" s="30" t="s">
        <v>52</v>
      </c>
      <c r="C6" s="31" t="n">
        <v>8</v>
      </c>
      <c r="D6" s="32" t="s">
        <v>53</v>
      </c>
      <c r="E6" s="32" t="n">
        <v>7</v>
      </c>
      <c r="F6" s="32" t="n">
        <v>9</v>
      </c>
      <c r="G6" s="33" t="s">
        <v>54</v>
      </c>
    </row>
    <row r="7" customFormat="false" ht="19.5" hidden="false" customHeight="true" outlineLevel="0" collapsed="false">
      <c r="B7" s="34" t="s">
        <v>55</v>
      </c>
      <c r="C7" s="31" t="n">
        <v>20</v>
      </c>
      <c r="D7" s="35" t="s">
        <v>56</v>
      </c>
      <c r="E7" s="35" t="n">
        <v>18</v>
      </c>
      <c r="F7" s="35" t="n">
        <v>22</v>
      </c>
      <c r="G7" s="36" t="s">
        <v>57</v>
      </c>
    </row>
    <row r="8" customFormat="false" ht="19.5" hidden="false" customHeight="true" outlineLevel="0" collapsed="false">
      <c r="B8" s="30" t="s">
        <v>58</v>
      </c>
      <c r="C8" s="31" t="n">
        <v>15</v>
      </c>
      <c r="D8" s="32" t="s">
        <v>59</v>
      </c>
      <c r="E8" s="32" t="n">
        <v>10</v>
      </c>
      <c r="F8" s="32" t="n">
        <v>25</v>
      </c>
      <c r="G8" s="33" t="s">
        <v>60</v>
      </c>
    </row>
    <row r="9" customFormat="false" ht="19.5" hidden="false" customHeight="true" outlineLevel="0" collapsed="false">
      <c r="B9" s="34" t="s">
        <v>61</v>
      </c>
      <c r="C9" s="31" t="n">
        <v>5</v>
      </c>
      <c r="D9" s="35" t="s">
        <v>59</v>
      </c>
      <c r="E9" s="35" t="n">
        <v>3</v>
      </c>
      <c r="F9" s="35" t="n">
        <v>10</v>
      </c>
      <c r="G9" s="36" t="s">
        <v>62</v>
      </c>
    </row>
    <row r="10" customFormat="false" ht="19.5" hidden="false" customHeight="true" outlineLevel="0" collapsed="false">
      <c r="B10" s="30" t="s">
        <v>63</v>
      </c>
      <c r="C10" s="31" t="n">
        <v>30</v>
      </c>
      <c r="D10" s="32" t="s">
        <v>59</v>
      </c>
      <c r="E10" s="32" t="n">
        <v>0</v>
      </c>
      <c r="F10" s="32" t="n">
        <v>100</v>
      </c>
      <c r="G10" s="33" t="s">
        <v>64</v>
      </c>
    </row>
    <row r="11" customFormat="false" ht="19.5" hidden="false" customHeight="true" outlineLevel="0" collapsed="false">
      <c r="B11" s="34" t="s">
        <v>65</v>
      </c>
      <c r="C11" s="31" t="n">
        <v>70</v>
      </c>
      <c r="D11" s="35" t="s">
        <v>59</v>
      </c>
      <c r="E11" s="35" t="n">
        <v>0</v>
      </c>
      <c r="F11" s="35" t="n">
        <v>100</v>
      </c>
      <c r="G11" s="36" t="s">
        <v>66</v>
      </c>
    </row>
    <row r="12" customFormat="false" ht="19.5" hidden="false" customHeight="true" outlineLevel="0" collapsed="false">
      <c r="B12" s="30" t="s">
        <v>67</v>
      </c>
      <c r="C12" s="31" t="n">
        <v>20</v>
      </c>
      <c r="D12" s="32" t="s">
        <v>59</v>
      </c>
      <c r="E12" s="32" t="n">
        <v>15</v>
      </c>
      <c r="F12" s="32" t="n">
        <v>30</v>
      </c>
      <c r="G12" s="33" t="s">
        <v>68</v>
      </c>
    </row>
    <row r="13" customFormat="false" ht="19.5" hidden="false" customHeight="true" outlineLevel="0" collapsed="false">
      <c r="B13" s="34" t="s">
        <v>69</v>
      </c>
      <c r="C13" s="31" t="n">
        <v>30</v>
      </c>
      <c r="D13" s="35" t="s">
        <v>59</v>
      </c>
      <c r="E13" s="35" t="n">
        <v>25</v>
      </c>
      <c r="F13" s="35" t="n">
        <v>40</v>
      </c>
      <c r="G13" s="36" t="s">
        <v>70</v>
      </c>
    </row>
    <row r="14" customFormat="false" ht="19.5" hidden="false" customHeight="true" outlineLevel="0" collapsed="false">
      <c r="B14" s="30" t="s">
        <v>71</v>
      </c>
      <c r="C14" s="31" t="n">
        <v>25</v>
      </c>
      <c r="D14" s="32" t="s">
        <v>59</v>
      </c>
      <c r="E14" s="32" t="n">
        <v>20</v>
      </c>
      <c r="F14" s="32" t="n">
        <v>35</v>
      </c>
      <c r="G14" s="33" t="s">
        <v>72</v>
      </c>
    </row>
    <row r="15" customFormat="false" ht="19.5" hidden="false" customHeight="true" outlineLevel="0" collapsed="false">
      <c r="B15" s="34" t="s">
        <v>73</v>
      </c>
      <c r="C15" s="31" t="n">
        <v>10</v>
      </c>
      <c r="D15" s="35" t="s">
        <v>59</v>
      </c>
      <c r="E15" s="35" t="n">
        <v>5</v>
      </c>
      <c r="F15" s="35" t="n">
        <v>15</v>
      </c>
      <c r="G15" s="36" t="s">
        <v>74</v>
      </c>
    </row>
    <row r="17" customFormat="false" ht="24" hidden="false" customHeight="true" outlineLevel="0" collapsed="false">
      <c r="B17" s="10" t="s">
        <v>75</v>
      </c>
      <c r="C17" s="10"/>
      <c r="D17" s="10"/>
      <c r="E17" s="10"/>
      <c r="F17" s="10"/>
      <c r="G17" s="10"/>
    </row>
    <row r="18" customFormat="false" ht="30" hidden="false" customHeight="true" outlineLevel="0" collapsed="false">
      <c r="B18" s="29" t="s">
        <v>76</v>
      </c>
      <c r="C18" s="29" t="s">
        <v>77</v>
      </c>
      <c r="D18" s="29" t="s">
        <v>78</v>
      </c>
      <c r="E18" s="29" t="s">
        <v>79</v>
      </c>
      <c r="F18" s="29" t="s">
        <v>80</v>
      </c>
      <c r="G18" s="29" t="s">
        <v>81</v>
      </c>
    </row>
    <row r="19" customFormat="false" ht="19.5" hidden="false" customHeight="true" outlineLevel="0" collapsed="false">
      <c r="B19" s="17" t="s">
        <v>82</v>
      </c>
      <c r="C19" s="37" t="n">
        <v>2200</v>
      </c>
      <c r="D19" s="37" t="n">
        <v>900</v>
      </c>
      <c r="E19" s="38" t="n">
        <f aca="false">Assumptions!C10/100*C19+Assumptions!C11/100*D19</f>
        <v>1290</v>
      </c>
      <c r="F19" s="39" t="s">
        <v>83</v>
      </c>
      <c r="G19" s="40" t="s">
        <v>84</v>
      </c>
    </row>
    <row r="20" customFormat="false" ht="19.5" hidden="false" customHeight="true" outlineLevel="0" collapsed="false">
      <c r="B20" s="41" t="s">
        <v>85</v>
      </c>
      <c r="C20" s="37" t="n">
        <v>1800</v>
      </c>
      <c r="D20" s="37" t="n">
        <v>750</v>
      </c>
      <c r="E20" s="38" t="n">
        <f aca="false">Assumptions!C10/100*C20+Assumptions!C11/100*D20</f>
        <v>1065</v>
      </c>
      <c r="F20" s="42" t="s">
        <v>86</v>
      </c>
      <c r="G20" s="43" t="s">
        <v>87</v>
      </c>
    </row>
    <row r="21" customFormat="false" ht="19.5" hidden="false" customHeight="true" outlineLevel="0" collapsed="false">
      <c r="B21" s="17" t="s">
        <v>88</v>
      </c>
      <c r="C21" s="37" t="n">
        <v>1500</v>
      </c>
      <c r="D21" s="37" t="n">
        <v>600</v>
      </c>
      <c r="E21" s="38" t="n">
        <f aca="false">Assumptions!C10/100*C21+Assumptions!C11/100*D21</f>
        <v>870</v>
      </c>
      <c r="F21" s="39" t="s">
        <v>86</v>
      </c>
      <c r="G21" s="40" t="s">
        <v>89</v>
      </c>
    </row>
    <row r="22" customFormat="false" ht="19.5" hidden="false" customHeight="true" outlineLevel="0" collapsed="false">
      <c r="B22" s="41" t="s">
        <v>90</v>
      </c>
      <c r="C22" s="37" t="n">
        <v>1600</v>
      </c>
      <c r="D22" s="37" t="n">
        <v>650</v>
      </c>
      <c r="E22" s="38" t="n">
        <f aca="false">Assumptions!C10/100*C22+Assumptions!C11/100*D22</f>
        <v>935</v>
      </c>
      <c r="F22" s="42" t="s">
        <v>86</v>
      </c>
      <c r="G22" s="43" t="s">
        <v>91</v>
      </c>
    </row>
    <row r="23" customFormat="false" ht="19.5" hidden="false" customHeight="true" outlineLevel="0" collapsed="false">
      <c r="B23" s="17" t="s">
        <v>92</v>
      </c>
      <c r="C23" s="37" t="n">
        <v>1200</v>
      </c>
      <c r="D23" s="37" t="n">
        <v>480</v>
      </c>
      <c r="E23" s="38" t="n">
        <f aca="false">Assumptions!C10/100*C23+Assumptions!C11/100*D23</f>
        <v>696</v>
      </c>
      <c r="F23" s="39" t="s">
        <v>93</v>
      </c>
      <c r="G23" s="40" t="s">
        <v>94</v>
      </c>
    </row>
    <row r="24" customFormat="false" ht="19.5" hidden="false" customHeight="true" outlineLevel="0" collapsed="false">
      <c r="B24" s="41" t="s">
        <v>95</v>
      </c>
      <c r="C24" s="37" t="n">
        <v>900</v>
      </c>
      <c r="D24" s="37" t="n">
        <v>360</v>
      </c>
      <c r="E24" s="38" t="n">
        <f aca="false">Assumptions!C10/100*C24+Assumptions!C11/100*D24</f>
        <v>522</v>
      </c>
      <c r="F24" s="42" t="s">
        <v>96</v>
      </c>
      <c r="G24" s="43" t="s">
        <v>97</v>
      </c>
    </row>
    <row r="25" customFormat="false" ht="19.5" hidden="false" customHeight="true" outlineLevel="0" collapsed="false">
      <c r="B25" s="17" t="s">
        <v>98</v>
      </c>
      <c r="C25" s="37" t="n">
        <v>1000</v>
      </c>
      <c r="D25" s="37" t="n">
        <v>400</v>
      </c>
      <c r="E25" s="38" t="n">
        <f aca="false">Assumptions!C10/100*C25+Assumptions!C11/100*D25</f>
        <v>580</v>
      </c>
      <c r="F25" s="39" t="s">
        <v>93</v>
      </c>
      <c r="G25" s="40" t="s">
        <v>91</v>
      </c>
    </row>
    <row r="26" customFormat="false" ht="19.5" hidden="false" customHeight="true" outlineLevel="0" collapsed="false">
      <c r="B26" s="41" t="s">
        <v>99</v>
      </c>
      <c r="C26" s="37" t="n">
        <v>800</v>
      </c>
      <c r="D26" s="37" t="n">
        <v>320</v>
      </c>
      <c r="E26" s="38" t="n">
        <f aca="false">Assumptions!C10/100*C26+Assumptions!C11/100*D26</f>
        <v>464</v>
      </c>
      <c r="F26" s="42" t="s">
        <v>96</v>
      </c>
      <c r="G26" s="43" t="s">
        <v>100</v>
      </c>
    </row>
    <row r="27" customFormat="false" ht="19.5" hidden="false" customHeight="true" outlineLevel="0" collapsed="false">
      <c r="B27" s="17" t="s">
        <v>101</v>
      </c>
      <c r="C27" s="37" t="n">
        <v>1100</v>
      </c>
      <c r="D27" s="37" t="n">
        <v>440</v>
      </c>
      <c r="E27" s="38" t="n">
        <f aca="false">Assumptions!C10/100*C27+Assumptions!C11/100*D27</f>
        <v>638</v>
      </c>
      <c r="F27" s="39" t="s">
        <v>93</v>
      </c>
      <c r="G27" s="40" t="s">
        <v>100</v>
      </c>
    </row>
    <row r="28" customFormat="false" ht="19.5" hidden="false" customHeight="true" outlineLevel="0" collapsed="false">
      <c r="B28" s="41" t="s">
        <v>102</v>
      </c>
      <c r="C28" s="37" t="n">
        <v>1300</v>
      </c>
      <c r="D28" s="37" t="n">
        <v>520</v>
      </c>
      <c r="E28" s="38" t="n">
        <f aca="false">Assumptions!C10/100*C28+Assumptions!C11/100*D28</f>
        <v>754</v>
      </c>
      <c r="F28" s="42" t="s">
        <v>93</v>
      </c>
      <c r="G28" s="43" t="s">
        <v>87</v>
      </c>
    </row>
    <row r="29" customFormat="false" ht="19.5" hidden="false" customHeight="true" outlineLevel="0" collapsed="false">
      <c r="B29" s="17" t="s">
        <v>103</v>
      </c>
      <c r="C29" s="37" t="n">
        <v>1000</v>
      </c>
      <c r="D29" s="37" t="n">
        <v>400</v>
      </c>
      <c r="E29" s="38" t="n">
        <f aca="false">Assumptions!C10/100*C29+Assumptions!C11/100*D29</f>
        <v>580</v>
      </c>
      <c r="F29" s="39" t="s">
        <v>93</v>
      </c>
      <c r="G29" s="40" t="s">
        <v>104</v>
      </c>
    </row>
    <row r="30" customFormat="false" ht="19.5" hidden="false" customHeight="true" outlineLevel="0" collapsed="false">
      <c r="B30" s="41" t="s">
        <v>105</v>
      </c>
      <c r="C30" s="37" t="n">
        <v>1400</v>
      </c>
      <c r="D30" s="37" t="n">
        <v>560</v>
      </c>
      <c r="E30" s="38" t="n">
        <f aca="false">Assumptions!C10/100*C30+Assumptions!C11/100*D30</f>
        <v>812</v>
      </c>
      <c r="F30" s="42" t="s">
        <v>93</v>
      </c>
      <c r="G30" s="43" t="s">
        <v>84</v>
      </c>
    </row>
    <row r="32" customFormat="false" ht="24" hidden="false" customHeight="true" outlineLevel="0" collapsed="false">
      <c r="B32" s="10" t="s">
        <v>106</v>
      </c>
      <c r="C32" s="10"/>
      <c r="D32" s="10"/>
      <c r="E32" s="10"/>
      <c r="F32" s="10"/>
      <c r="G32" s="10"/>
    </row>
    <row r="33" customFormat="false" ht="27.75" hidden="false" customHeight="true" outlineLevel="0" collapsed="false">
      <c r="B33" s="29" t="s">
        <v>80</v>
      </c>
      <c r="C33" s="29" t="s">
        <v>107</v>
      </c>
      <c r="D33" s="29" t="s">
        <v>108</v>
      </c>
      <c r="E33" s="29" t="s">
        <v>109</v>
      </c>
      <c r="F33" s="29" t="s">
        <v>110</v>
      </c>
      <c r="G33" s="29" t="s">
        <v>111</v>
      </c>
    </row>
    <row r="34" customFormat="false" ht="72" hidden="false" customHeight="true" outlineLevel="0" collapsed="false">
      <c r="B34" s="44" t="s">
        <v>112</v>
      </c>
      <c r="C34" s="45" t="s">
        <v>113</v>
      </c>
      <c r="D34" s="46" t="n">
        <v>0.7</v>
      </c>
      <c r="E34" s="46" t="n">
        <v>0.7</v>
      </c>
      <c r="F34" s="47" t="s">
        <v>114</v>
      </c>
      <c r="G34" s="48" t="s">
        <v>115</v>
      </c>
    </row>
    <row r="35" customFormat="false" ht="72" hidden="false" customHeight="true" outlineLevel="0" collapsed="false">
      <c r="B35" s="49" t="s">
        <v>116</v>
      </c>
      <c r="C35" s="50" t="s">
        <v>117</v>
      </c>
      <c r="D35" s="46" t="n">
        <v>1</v>
      </c>
      <c r="E35" s="46" t="n">
        <v>1</v>
      </c>
      <c r="F35" s="51" t="s">
        <v>118</v>
      </c>
      <c r="G35" s="52" t="s">
        <v>119</v>
      </c>
    </row>
    <row r="36" customFormat="false" ht="72" hidden="false" customHeight="true" outlineLevel="0" collapsed="false">
      <c r="B36" s="53" t="s">
        <v>120</v>
      </c>
      <c r="C36" s="54" t="s">
        <v>121</v>
      </c>
      <c r="D36" s="46" t="n">
        <v>1.4</v>
      </c>
      <c r="E36" s="46" t="n">
        <v>1.5</v>
      </c>
      <c r="F36" s="55" t="s">
        <v>122</v>
      </c>
      <c r="G36" s="56" t="s">
        <v>123</v>
      </c>
    </row>
    <row r="37" customFormat="false" ht="72" hidden="false" customHeight="true" outlineLevel="0" collapsed="false">
      <c r="B37" s="57" t="s">
        <v>124</v>
      </c>
      <c r="C37" s="58" t="s">
        <v>125</v>
      </c>
      <c r="D37" s="46" t="n">
        <v>1.9</v>
      </c>
      <c r="E37" s="46" t="n">
        <v>2</v>
      </c>
      <c r="F37" s="59" t="s">
        <v>126</v>
      </c>
      <c r="G37" s="60" t="s">
        <v>127</v>
      </c>
    </row>
  </sheetData>
  <mergeCells count="5">
    <mergeCell ref="B1:G1"/>
    <mergeCell ref="B2:G2"/>
    <mergeCell ref="B4:G4"/>
    <mergeCell ref="B17:G17"/>
    <mergeCell ref="B32:G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M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3" min="3" style="1" width="34"/>
    <col collapsed="false" customWidth="true" hidden="false" outlineLevel="0" max="5" min="4" style="1" width="10"/>
    <col collapsed="false" customWidth="true" hidden="false" outlineLevel="0" max="7" min="6" style="1" width="11"/>
    <col collapsed="false" customWidth="true" hidden="false" outlineLevel="0" max="9" min="8" style="1" width="12"/>
    <col collapsed="false" customWidth="true" hidden="false" outlineLevel="0" max="12" min="10" style="1" width="13"/>
    <col collapsed="false" customWidth="true" hidden="false" outlineLevel="0" max="13" min="13" style="1" width="18"/>
  </cols>
  <sheetData>
    <row r="1" customFormat="false" ht="48" hidden="false" customHeight="true" outlineLevel="0" collapsed="false">
      <c r="B1" s="2" t="s">
        <v>128</v>
      </c>
      <c r="C1" s="2"/>
      <c r="D1" s="2"/>
      <c r="E1" s="2"/>
      <c r="F1" s="2"/>
      <c r="G1" s="2"/>
      <c r="H1" s="2"/>
      <c r="I1" s="2"/>
      <c r="J1" s="2"/>
      <c r="K1" s="2"/>
      <c r="L1" s="2"/>
      <c r="M1" s="2"/>
    </row>
    <row r="2" customFormat="false" ht="21.75" hidden="false" customHeight="true" outlineLevel="0" collapsed="false">
      <c r="B2" s="3" t="s">
        <v>129</v>
      </c>
      <c r="C2" s="3"/>
      <c r="D2" s="3"/>
      <c r="E2" s="3"/>
      <c r="F2" s="3"/>
      <c r="G2" s="3"/>
      <c r="H2" s="3"/>
      <c r="I2" s="3"/>
      <c r="J2" s="3"/>
      <c r="K2" s="3"/>
      <c r="L2" s="3"/>
      <c r="M2" s="3"/>
    </row>
    <row r="4" customFormat="false" ht="19.5" hidden="false" customHeight="true" outlineLevel="0" collapsed="false">
      <c r="B4" s="61" t="s">
        <v>130</v>
      </c>
      <c r="C4" s="61"/>
      <c r="D4" s="62" t="s">
        <v>131</v>
      </c>
      <c r="E4" s="62"/>
      <c r="F4" s="63" t="s">
        <v>132</v>
      </c>
      <c r="G4" s="63"/>
      <c r="H4" s="64" t="s">
        <v>133</v>
      </c>
      <c r="I4" s="64"/>
    </row>
    <row r="6" customFormat="false" ht="43.5" hidden="false" customHeight="true" outlineLevel="0" collapsed="false">
      <c r="B6" s="29" t="s">
        <v>134</v>
      </c>
      <c r="C6" s="29" t="s">
        <v>135</v>
      </c>
      <c r="D6" s="29" t="s">
        <v>136</v>
      </c>
      <c r="E6" s="29" t="s">
        <v>137</v>
      </c>
      <c r="F6" s="29" t="s">
        <v>138</v>
      </c>
      <c r="G6" s="29" t="s">
        <v>139</v>
      </c>
      <c r="H6" s="29" t="s">
        <v>140</v>
      </c>
      <c r="I6" s="29" t="s">
        <v>141</v>
      </c>
      <c r="J6" s="29" t="s">
        <v>142</v>
      </c>
      <c r="K6" s="29" t="s">
        <v>143</v>
      </c>
      <c r="L6" s="29" t="s">
        <v>144</v>
      </c>
      <c r="M6" s="29" t="s">
        <v>145</v>
      </c>
    </row>
    <row r="7" customFormat="false" ht="24" hidden="false" customHeight="true" outlineLevel="0" collapsed="false">
      <c r="B7" s="65" t="s">
        <v>146</v>
      </c>
      <c r="C7" s="65"/>
      <c r="D7" s="65"/>
      <c r="E7" s="65"/>
      <c r="F7" s="65"/>
      <c r="G7" s="65"/>
      <c r="H7" s="65"/>
      <c r="I7" s="65"/>
      <c r="J7" s="65"/>
      <c r="K7" s="65"/>
      <c r="L7" s="65"/>
      <c r="M7" s="65"/>
    </row>
    <row r="8" customFormat="false" ht="18" hidden="false" customHeight="true" outlineLevel="0" collapsed="false">
      <c r="B8" s="66" t="s">
        <v>147</v>
      </c>
      <c r="C8" s="66"/>
      <c r="D8" s="66"/>
      <c r="E8" s="66"/>
      <c r="F8" s="66"/>
      <c r="G8" s="66"/>
      <c r="H8" s="66"/>
      <c r="I8" s="66"/>
      <c r="J8" s="66"/>
      <c r="K8" s="66"/>
      <c r="L8" s="66"/>
      <c r="M8" s="66"/>
    </row>
    <row r="9" customFormat="false" ht="27.75" hidden="false" customHeight="true" outlineLevel="0" collapsed="false">
      <c r="B9" s="29" t="s">
        <v>148</v>
      </c>
      <c r="C9" s="29"/>
      <c r="D9" s="29"/>
      <c r="E9" s="29" t="s">
        <v>110</v>
      </c>
      <c r="F9" s="29"/>
      <c r="G9" s="29"/>
      <c r="H9" s="29"/>
      <c r="I9" s="29"/>
      <c r="J9" s="29"/>
      <c r="K9" s="29"/>
      <c r="M9" s="29" t="s">
        <v>149</v>
      </c>
    </row>
    <row r="10" customFormat="false" ht="63.75" hidden="false" customHeight="true" outlineLevel="0" collapsed="false">
      <c r="B10" s="67" t="s">
        <v>150</v>
      </c>
      <c r="C10" s="67"/>
      <c r="D10" s="67"/>
      <c r="E10" s="68" t="s">
        <v>151</v>
      </c>
      <c r="F10" s="68"/>
      <c r="G10" s="68"/>
      <c r="H10" s="68"/>
      <c r="I10" s="68"/>
      <c r="J10" s="68"/>
      <c r="K10" s="68"/>
      <c r="M10" s="69" t="s">
        <v>152</v>
      </c>
    </row>
    <row r="11" customFormat="false" ht="63.75" hidden="false" customHeight="true" outlineLevel="0" collapsed="false">
      <c r="B11" s="70" t="s">
        <v>153</v>
      </c>
      <c r="C11" s="70"/>
      <c r="D11" s="70"/>
      <c r="E11" s="71" t="s">
        <v>154</v>
      </c>
      <c r="F11" s="71"/>
      <c r="G11" s="71"/>
      <c r="H11" s="71"/>
      <c r="I11" s="71"/>
      <c r="J11" s="71"/>
      <c r="K11" s="71"/>
      <c r="M11" s="72" t="s">
        <v>155</v>
      </c>
    </row>
    <row r="12" customFormat="false" ht="63.75" hidden="false" customHeight="true" outlineLevel="0" collapsed="false">
      <c r="B12" s="73" t="s">
        <v>156</v>
      </c>
      <c r="C12" s="73"/>
      <c r="D12" s="73"/>
      <c r="E12" s="74" t="s">
        <v>157</v>
      </c>
      <c r="F12" s="74"/>
      <c r="G12" s="74"/>
      <c r="H12" s="74"/>
      <c r="I12" s="74"/>
      <c r="J12" s="74"/>
      <c r="K12" s="74"/>
      <c r="M12" s="75" t="s">
        <v>158</v>
      </c>
    </row>
    <row r="13" customFormat="false" ht="63.75" hidden="false" customHeight="true" outlineLevel="0" collapsed="false">
      <c r="B13" s="76" t="s">
        <v>159</v>
      </c>
      <c r="C13" s="76"/>
      <c r="D13" s="76"/>
      <c r="E13" s="77" t="s">
        <v>160</v>
      </c>
      <c r="F13" s="77"/>
      <c r="G13" s="77"/>
      <c r="H13" s="77"/>
      <c r="I13" s="77"/>
      <c r="J13" s="77"/>
      <c r="K13" s="77"/>
      <c r="M13" s="78" t="s">
        <v>161</v>
      </c>
    </row>
    <row r="14" customFormat="false" ht="6" hidden="false" customHeight="true" outlineLevel="0" collapsed="false">
      <c r="B14" s="79"/>
      <c r="C14" s="79"/>
      <c r="D14" s="79"/>
      <c r="E14" s="79"/>
      <c r="F14" s="79"/>
      <c r="G14" s="79"/>
      <c r="H14" s="79"/>
      <c r="I14" s="79"/>
      <c r="J14" s="79"/>
      <c r="K14" s="79"/>
      <c r="L14" s="79"/>
      <c r="M14" s="79"/>
    </row>
    <row r="15" customFormat="false" ht="21.75" hidden="false" customHeight="true" outlineLevel="0" collapsed="false">
      <c r="B15" s="80" t="s">
        <v>162</v>
      </c>
      <c r="C15" s="81" t="s">
        <v>163</v>
      </c>
      <c r="D15" s="7" t="s">
        <v>117</v>
      </c>
      <c r="E15" s="82" t="n">
        <v>1</v>
      </c>
      <c r="F15" s="46" t="n">
        <v>5</v>
      </c>
      <c r="G15" s="33" t="s">
        <v>164</v>
      </c>
      <c r="H15" s="83" t="n">
        <f aca="false">IF(D15="L",Assumptions!D34,IF(D15="M",Assumptions!D35,IF(D15="H",Assumptions!D36,IF(D15="VH",Assumptions!D37,1))))</f>
        <v>1</v>
      </c>
      <c r="I15" s="84" t="n">
        <f aca="false">E15*F15*H15</f>
        <v>5</v>
      </c>
      <c r="J15" s="85" t="n">
        <f aca="false">I15*Assumptions!C12/100</f>
        <v>1</v>
      </c>
      <c r="K15" s="86" t="n">
        <f aca="false">I15+J15</f>
        <v>6</v>
      </c>
      <c r="L15" s="87" t="s">
        <v>165</v>
      </c>
      <c r="M15" s="88" t="s">
        <v>166</v>
      </c>
    </row>
    <row r="16" customFormat="false" ht="21.75" hidden="false" customHeight="true" outlineLevel="0" collapsed="false">
      <c r="B16" s="41"/>
      <c r="C16" s="89" t="s">
        <v>167</v>
      </c>
      <c r="D16" s="7" t="s">
        <v>117</v>
      </c>
      <c r="E16" s="82" t="n">
        <v>1</v>
      </c>
      <c r="F16" s="46" t="n">
        <v>4</v>
      </c>
      <c r="G16" s="36" t="s">
        <v>164</v>
      </c>
      <c r="H16" s="83" t="n">
        <f aca="false">IF(D16="L",Assumptions!D34,IF(D16="M",Assumptions!D35,IF(D16="H",Assumptions!D36,IF(D16="VH",Assumptions!D37,1))))</f>
        <v>1</v>
      </c>
      <c r="I16" s="84" t="n">
        <f aca="false">E16*F16*H16</f>
        <v>4</v>
      </c>
      <c r="J16" s="85" t="n">
        <f aca="false">I16*Assumptions!C12/100</f>
        <v>0.8</v>
      </c>
      <c r="K16" s="86" t="n">
        <f aca="false">I16+J16</f>
        <v>4.8</v>
      </c>
      <c r="L16" s="90" t="s">
        <v>165</v>
      </c>
      <c r="M16" s="91" t="s">
        <v>168</v>
      </c>
    </row>
    <row r="17" customFormat="false" ht="21.75" hidden="false" customHeight="true" outlineLevel="0" collapsed="false">
      <c r="B17" s="80"/>
      <c r="C17" s="81" t="s">
        <v>169</v>
      </c>
      <c r="D17" s="7" t="s">
        <v>117</v>
      </c>
      <c r="E17" s="82" t="n">
        <v>1</v>
      </c>
      <c r="F17" s="46" t="n">
        <v>4</v>
      </c>
      <c r="G17" s="33" t="s">
        <v>164</v>
      </c>
      <c r="H17" s="83" t="n">
        <f aca="false">IF(D17="L",Assumptions!D34,IF(D17="M",Assumptions!D35,IF(D17="H",Assumptions!D36,IF(D17="VH",Assumptions!D37,1))))</f>
        <v>1</v>
      </c>
      <c r="I17" s="84" t="n">
        <f aca="false">E17*F17*H17</f>
        <v>4</v>
      </c>
      <c r="J17" s="85" t="n">
        <f aca="false">I17*Assumptions!C12/100</f>
        <v>0.8</v>
      </c>
      <c r="K17" s="86" t="n">
        <f aca="false">I17+J17</f>
        <v>4.8</v>
      </c>
      <c r="L17" s="87" t="s">
        <v>165</v>
      </c>
      <c r="M17" s="88" t="s">
        <v>168</v>
      </c>
    </row>
    <row r="18" customFormat="false" ht="21.75" hidden="false" customHeight="true" outlineLevel="0" collapsed="false">
      <c r="B18" s="41"/>
      <c r="C18" s="89" t="s">
        <v>170</v>
      </c>
      <c r="D18" s="7" t="s">
        <v>117</v>
      </c>
      <c r="E18" s="82" t="n">
        <v>1</v>
      </c>
      <c r="F18" s="46" t="n">
        <v>5</v>
      </c>
      <c r="G18" s="36" t="s">
        <v>164</v>
      </c>
      <c r="H18" s="83" t="n">
        <f aca="false">IF(D18="L",Assumptions!D34,IF(D18="M",Assumptions!D35,IF(D18="H",Assumptions!D36,IF(D18="VH",Assumptions!D37,1))))</f>
        <v>1</v>
      </c>
      <c r="I18" s="84" t="n">
        <f aca="false">E18*F18*H18</f>
        <v>5</v>
      </c>
      <c r="J18" s="85" t="n">
        <f aca="false">I18*Assumptions!C12/100</f>
        <v>1</v>
      </c>
      <c r="K18" s="86" t="n">
        <f aca="false">I18+J18</f>
        <v>6</v>
      </c>
      <c r="L18" s="90" t="s">
        <v>165</v>
      </c>
      <c r="M18" s="91" t="s">
        <v>166</v>
      </c>
    </row>
    <row r="19" customFormat="false" ht="21.75" hidden="false" customHeight="true" outlineLevel="0" collapsed="false">
      <c r="B19" s="80"/>
      <c r="C19" s="81" t="s">
        <v>171</v>
      </c>
      <c r="D19" s="7" t="s">
        <v>113</v>
      </c>
      <c r="E19" s="82" t="n">
        <v>1</v>
      </c>
      <c r="F19" s="46" t="n">
        <v>3</v>
      </c>
      <c r="G19" s="33" t="s">
        <v>164</v>
      </c>
      <c r="H19" s="83" t="n">
        <f aca="false">IF(D19="L",Assumptions!D34,IF(D19="M",Assumptions!D35,IF(D19="H",Assumptions!D36,IF(D19="VH",Assumptions!D37,1))))</f>
        <v>0.7</v>
      </c>
      <c r="I19" s="84" t="n">
        <f aca="false">E19*F19*H19</f>
        <v>2.1</v>
      </c>
      <c r="J19" s="85" t="n">
        <f aca="false">I19*Assumptions!C12/100</f>
        <v>0.42</v>
      </c>
      <c r="K19" s="86" t="n">
        <f aca="false">I19+J19</f>
        <v>2.52</v>
      </c>
      <c r="L19" s="87" t="s">
        <v>165</v>
      </c>
      <c r="M19" s="88" t="s">
        <v>168</v>
      </c>
    </row>
    <row r="20" customFormat="false" ht="21.75" hidden="false" customHeight="true" outlineLevel="0" collapsed="false">
      <c r="B20" s="41"/>
      <c r="C20" s="89" t="s">
        <v>172</v>
      </c>
      <c r="D20" s="7" t="s">
        <v>117</v>
      </c>
      <c r="E20" s="82" t="n">
        <v>1</v>
      </c>
      <c r="F20" s="46" t="n">
        <v>6</v>
      </c>
      <c r="G20" s="36" t="s">
        <v>173</v>
      </c>
      <c r="H20" s="83" t="n">
        <f aca="false">IF(D20="L",Assumptions!D34,IF(D20="M",Assumptions!D35,IF(D20="H",Assumptions!D36,IF(D20="VH",Assumptions!D37,1))))</f>
        <v>1</v>
      </c>
      <c r="I20" s="84" t="n">
        <f aca="false">E20*F20*H20</f>
        <v>6</v>
      </c>
      <c r="J20" s="85" t="n">
        <f aca="false">I20*Assumptions!C12/100</f>
        <v>1.2</v>
      </c>
      <c r="K20" s="86" t="n">
        <f aca="false">I20+J20</f>
        <v>7.2</v>
      </c>
      <c r="L20" s="90" t="s">
        <v>165</v>
      </c>
      <c r="M20" s="91" t="s">
        <v>168</v>
      </c>
    </row>
    <row r="21" customFormat="false" ht="21.75" hidden="false" customHeight="true" outlineLevel="0" collapsed="false">
      <c r="B21" s="80"/>
      <c r="C21" s="81" t="s">
        <v>174</v>
      </c>
      <c r="D21" s="7" t="s">
        <v>113</v>
      </c>
      <c r="E21" s="82" t="n">
        <v>1</v>
      </c>
      <c r="F21" s="46" t="n">
        <v>3</v>
      </c>
      <c r="G21" s="33" t="s">
        <v>164</v>
      </c>
      <c r="H21" s="83" t="n">
        <f aca="false">IF(D21="L",Assumptions!D34,IF(D21="M",Assumptions!D35,IF(D21="H",Assumptions!D36,IF(D21="VH",Assumptions!D37,1))))</f>
        <v>0.7</v>
      </c>
      <c r="I21" s="84" t="n">
        <f aca="false">E21*F21*H21</f>
        <v>2.1</v>
      </c>
      <c r="J21" s="85" t="n">
        <f aca="false">I21*Assumptions!C12/100</f>
        <v>0.42</v>
      </c>
      <c r="K21" s="86" t="n">
        <f aca="false">I21+J21</f>
        <v>2.52</v>
      </c>
      <c r="L21" s="87" t="s">
        <v>165</v>
      </c>
      <c r="M21" s="88" t="s">
        <v>168</v>
      </c>
    </row>
    <row r="22" customFormat="false" ht="21.75" hidden="false" customHeight="true" outlineLevel="0" collapsed="false">
      <c r="B22" s="41" t="s">
        <v>175</v>
      </c>
      <c r="C22" s="89" t="s">
        <v>176</v>
      </c>
      <c r="D22" s="7" t="s">
        <v>117</v>
      </c>
      <c r="E22" s="82" t="n">
        <v>1</v>
      </c>
      <c r="F22" s="46" t="n">
        <v>4</v>
      </c>
      <c r="G22" s="36" t="s">
        <v>164</v>
      </c>
      <c r="H22" s="83" t="n">
        <f aca="false">IF(D22="L",Assumptions!D34,IF(D22="M",Assumptions!D35,IF(D22="H",Assumptions!D36,IF(D22="VH",Assumptions!D37,1))))</f>
        <v>1</v>
      </c>
      <c r="I22" s="84" t="n">
        <f aca="false">E22*F22*H22</f>
        <v>4</v>
      </c>
      <c r="J22" s="85" t="n">
        <f aca="false">I22*Assumptions!C12/100</f>
        <v>0.8</v>
      </c>
      <c r="K22" s="86" t="n">
        <f aca="false">I22+J22</f>
        <v>4.8</v>
      </c>
      <c r="L22" s="90" t="s">
        <v>165</v>
      </c>
      <c r="M22" s="91" t="s">
        <v>166</v>
      </c>
    </row>
    <row r="23" customFormat="false" ht="21.75" hidden="false" customHeight="true" outlineLevel="0" collapsed="false">
      <c r="B23" s="80"/>
      <c r="C23" s="81" t="s">
        <v>177</v>
      </c>
      <c r="D23" s="7" t="s">
        <v>121</v>
      </c>
      <c r="E23" s="82" t="n">
        <v>1</v>
      </c>
      <c r="F23" s="46" t="n">
        <v>10</v>
      </c>
      <c r="G23" s="33" t="s">
        <v>164</v>
      </c>
      <c r="H23" s="83" t="n">
        <f aca="false">IF(D23="L",Assumptions!D34,IF(D23="M",Assumptions!D35,IF(D23="H",Assumptions!D36,IF(D23="VH",Assumptions!D37,1))))</f>
        <v>1.4</v>
      </c>
      <c r="I23" s="84" t="n">
        <f aca="false">E23*F23*H23</f>
        <v>14</v>
      </c>
      <c r="J23" s="85" t="n">
        <f aca="false">I23*Assumptions!C12/100</f>
        <v>2.8</v>
      </c>
      <c r="K23" s="86" t="n">
        <f aca="false">I23+J23</f>
        <v>16.8</v>
      </c>
      <c r="L23" s="87" t="s">
        <v>165</v>
      </c>
      <c r="M23" s="88" t="s">
        <v>166</v>
      </c>
    </row>
    <row r="24" customFormat="false" ht="21.75" hidden="false" customHeight="true" outlineLevel="0" collapsed="false">
      <c r="B24" s="41"/>
      <c r="C24" s="89" t="s">
        <v>178</v>
      </c>
      <c r="D24" s="7" t="s">
        <v>121</v>
      </c>
      <c r="E24" s="82" t="n">
        <v>5</v>
      </c>
      <c r="F24" s="46" t="n">
        <v>4</v>
      </c>
      <c r="G24" s="36" t="s">
        <v>164</v>
      </c>
      <c r="H24" s="83" t="n">
        <f aca="false">IF(D24="L",Assumptions!D34,IF(D24="M",Assumptions!D35,IF(D24="H",Assumptions!D36,IF(D24="VH",Assumptions!D37,1))))</f>
        <v>1.4</v>
      </c>
      <c r="I24" s="84" t="n">
        <f aca="false">E24*F24*H24</f>
        <v>28</v>
      </c>
      <c r="J24" s="85" t="n">
        <f aca="false">I24*Assumptions!C12/100</f>
        <v>5.6</v>
      </c>
      <c r="K24" s="86" t="n">
        <f aca="false">I24+J24</f>
        <v>33.6</v>
      </c>
      <c r="L24" s="90" t="s">
        <v>165</v>
      </c>
      <c r="M24" s="91" t="s">
        <v>179</v>
      </c>
    </row>
    <row r="25" customFormat="false" ht="21.75" hidden="false" customHeight="true" outlineLevel="0" collapsed="false">
      <c r="B25" s="80"/>
      <c r="C25" s="81" t="s">
        <v>180</v>
      </c>
      <c r="D25" s="7" t="s">
        <v>121</v>
      </c>
      <c r="E25" s="82" t="n">
        <v>1</v>
      </c>
      <c r="F25" s="46" t="n">
        <v>6</v>
      </c>
      <c r="G25" s="33" t="s">
        <v>173</v>
      </c>
      <c r="H25" s="83" t="n">
        <f aca="false">IF(D25="L",Assumptions!D34,IF(D25="M",Assumptions!D35,IF(D25="H",Assumptions!D36,IF(D25="VH",Assumptions!D37,1))))</f>
        <v>1.4</v>
      </c>
      <c r="I25" s="84" t="n">
        <f aca="false">E25*F25*H25</f>
        <v>8.4</v>
      </c>
      <c r="J25" s="85" t="n">
        <f aca="false">I25*Assumptions!C12/100</f>
        <v>1.68</v>
      </c>
      <c r="K25" s="86" t="n">
        <f aca="false">I25+J25</f>
        <v>10.08</v>
      </c>
      <c r="L25" s="87" t="s">
        <v>165</v>
      </c>
      <c r="M25" s="88" t="s">
        <v>166</v>
      </c>
    </row>
    <row r="26" customFormat="false" ht="21.75" hidden="false" customHeight="true" outlineLevel="0" collapsed="false">
      <c r="B26" s="41"/>
      <c r="C26" s="89" t="s">
        <v>181</v>
      </c>
      <c r="D26" s="7" t="s">
        <v>121</v>
      </c>
      <c r="E26" s="82" t="n">
        <v>3</v>
      </c>
      <c r="F26" s="46" t="n">
        <v>8</v>
      </c>
      <c r="G26" s="36" t="s">
        <v>182</v>
      </c>
      <c r="H26" s="83" t="n">
        <f aca="false">IF(D26="L",Assumptions!D34,IF(D26="M",Assumptions!D35,IF(D26="H",Assumptions!D36,IF(D26="VH",Assumptions!D37,1))))</f>
        <v>1.4</v>
      </c>
      <c r="I26" s="84" t="n">
        <f aca="false">E26*F26*H26</f>
        <v>33.6</v>
      </c>
      <c r="J26" s="85" t="n">
        <f aca="false">I26*Assumptions!C12/100</f>
        <v>6.72</v>
      </c>
      <c r="K26" s="86" t="n">
        <f aca="false">I26+J26</f>
        <v>40.32</v>
      </c>
      <c r="L26" s="90" t="s">
        <v>165</v>
      </c>
      <c r="M26" s="91" t="s">
        <v>166</v>
      </c>
    </row>
    <row r="27" customFormat="false" ht="21.75" hidden="false" customHeight="true" outlineLevel="0" collapsed="false">
      <c r="B27" s="80" t="s">
        <v>183</v>
      </c>
      <c r="C27" s="81" t="s">
        <v>184</v>
      </c>
      <c r="D27" s="7" t="s">
        <v>117</v>
      </c>
      <c r="E27" s="82" t="n">
        <v>1</v>
      </c>
      <c r="F27" s="46" t="n">
        <v>5</v>
      </c>
      <c r="G27" s="33" t="s">
        <v>173</v>
      </c>
      <c r="H27" s="83" t="n">
        <f aca="false">IF(D27="L",Assumptions!D34,IF(D27="M",Assumptions!D35,IF(D27="H",Assumptions!D36,IF(D27="VH",Assumptions!D37,1))))</f>
        <v>1</v>
      </c>
      <c r="I27" s="84" t="n">
        <f aca="false">E27*F27*H27</f>
        <v>5</v>
      </c>
      <c r="J27" s="85" t="n">
        <f aca="false">I27*Assumptions!C12/100</f>
        <v>1</v>
      </c>
      <c r="K27" s="86" t="n">
        <f aca="false">I27+J27</f>
        <v>6</v>
      </c>
      <c r="L27" s="87" t="s">
        <v>165</v>
      </c>
      <c r="M27" s="88" t="s">
        <v>168</v>
      </c>
    </row>
    <row r="28" customFormat="false" ht="21.75" hidden="false" customHeight="true" outlineLevel="0" collapsed="false">
      <c r="B28" s="41"/>
      <c r="C28" s="89" t="s">
        <v>185</v>
      </c>
      <c r="D28" s="7" t="s">
        <v>117</v>
      </c>
      <c r="E28" s="82" t="n">
        <v>1</v>
      </c>
      <c r="F28" s="46" t="n">
        <v>5</v>
      </c>
      <c r="G28" s="36" t="s">
        <v>164</v>
      </c>
      <c r="H28" s="83" t="n">
        <f aca="false">IF(D28="L",Assumptions!D34,IF(D28="M",Assumptions!D35,IF(D28="H",Assumptions!D36,IF(D28="VH",Assumptions!D37,1))))</f>
        <v>1</v>
      </c>
      <c r="I28" s="84" t="n">
        <f aca="false">E28*F28*H28</f>
        <v>5</v>
      </c>
      <c r="J28" s="85" t="n">
        <f aca="false">I28*Assumptions!C12/100</f>
        <v>1</v>
      </c>
      <c r="K28" s="86" t="n">
        <f aca="false">I28+J28</f>
        <v>6</v>
      </c>
      <c r="L28" s="90" t="s">
        <v>165</v>
      </c>
      <c r="M28" s="91" t="s">
        <v>168</v>
      </c>
    </row>
    <row r="29" customFormat="false" ht="21.75" hidden="false" customHeight="true" outlineLevel="0" collapsed="false">
      <c r="B29" s="80"/>
      <c r="C29" s="81" t="s">
        <v>186</v>
      </c>
      <c r="D29" s="7" t="s">
        <v>113</v>
      </c>
      <c r="E29" s="82" t="n">
        <v>1</v>
      </c>
      <c r="F29" s="46" t="n">
        <v>3</v>
      </c>
      <c r="G29" s="33" t="s">
        <v>164</v>
      </c>
      <c r="H29" s="83" t="n">
        <f aca="false">IF(D29="L",Assumptions!D34,IF(D29="M",Assumptions!D35,IF(D29="H",Assumptions!D36,IF(D29="VH",Assumptions!D37,1))))</f>
        <v>0.7</v>
      </c>
      <c r="I29" s="84" t="n">
        <f aca="false">E29*F29*H29</f>
        <v>2.1</v>
      </c>
      <c r="J29" s="85" t="n">
        <f aca="false">I29*Assumptions!C12/100</f>
        <v>0.42</v>
      </c>
      <c r="K29" s="86" t="n">
        <f aca="false">I29+J29</f>
        <v>2.52</v>
      </c>
      <c r="L29" s="87" t="s">
        <v>165</v>
      </c>
      <c r="M29" s="88" t="s">
        <v>168</v>
      </c>
    </row>
    <row r="30" customFormat="false" ht="21.75" hidden="false" customHeight="true" outlineLevel="0" collapsed="false">
      <c r="B30" s="41" t="s">
        <v>187</v>
      </c>
      <c r="C30" s="89" t="s">
        <v>188</v>
      </c>
      <c r="D30" s="7" t="s">
        <v>117</v>
      </c>
      <c r="E30" s="82" t="n">
        <v>1</v>
      </c>
      <c r="F30" s="46" t="n">
        <v>8</v>
      </c>
      <c r="G30" s="36" t="s">
        <v>164</v>
      </c>
      <c r="H30" s="83" t="n">
        <f aca="false">IF(D30="L",Assumptions!D34,IF(D30="M",Assumptions!D35,IF(D30="H",Assumptions!D36,IF(D30="VH",Assumptions!D37,1))))</f>
        <v>1</v>
      </c>
      <c r="I30" s="84" t="n">
        <f aca="false">E30*F30*H30</f>
        <v>8</v>
      </c>
      <c r="J30" s="85" t="n">
        <f aca="false">I30*Assumptions!C12/100</f>
        <v>1.6</v>
      </c>
      <c r="K30" s="86" t="n">
        <f aca="false">I30+J30</f>
        <v>9.6</v>
      </c>
      <c r="L30" s="90" t="s">
        <v>165</v>
      </c>
      <c r="M30" s="91" t="s">
        <v>168</v>
      </c>
    </row>
    <row r="31" customFormat="false" ht="21.75" hidden="false" customHeight="true" outlineLevel="0" collapsed="false">
      <c r="B31" s="80"/>
      <c r="C31" s="81" t="s">
        <v>189</v>
      </c>
      <c r="D31" s="7" t="s">
        <v>117</v>
      </c>
      <c r="E31" s="82" t="n">
        <v>1</v>
      </c>
      <c r="F31" s="46" t="n">
        <v>4</v>
      </c>
      <c r="G31" s="33" t="s">
        <v>164</v>
      </c>
      <c r="H31" s="83" t="n">
        <f aca="false">IF(D31="L",Assumptions!D34,IF(D31="M",Assumptions!D35,IF(D31="H",Assumptions!D36,IF(D31="VH",Assumptions!D37,1))))</f>
        <v>1</v>
      </c>
      <c r="I31" s="84" t="n">
        <f aca="false">E31*F31*H31</f>
        <v>4</v>
      </c>
      <c r="J31" s="85" t="n">
        <f aca="false">I31*Assumptions!C12/100</f>
        <v>0.8</v>
      </c>
      <c r="K31" s="86" t="n">
        <f aca="false">I31+J31</f>
        <v>4.8</v>
      </c>
      <c r="L31" s="87" t="s">
        <v>165</v>
      </c>
      <c r="M31" s="88" t="s">
        <v>168</v>
      </c>
    </row>
    <row r="32" customFormat="false" ht="21.75" hidden="false" customHeight="true" outlineLevel="0" collapsed="false">
      <c r="B32" s="41" t="s">
        <v>190</v>
      </c>
      <c r="C32" s="89" t="s">
        <v>191</v>
      </c>
      <c r="D32" s="7" t="s">
        <v>121</v>
      </c>
      <c r="E32" s="82" t="n">
        <v>1</v>
      </c>
      <c r="F32" s="46" t="n">
        <v>10</v>
      </c>
      <c r="G32" s="36" t="s">
        <v>173</v>
      </c>
      <c r="H32" s="83" t="n">
        <f aca="false">IF(D32="L",Assumptions!D34,IF(D32="M",Assumptions!D35,IF(D32="H",Assumptions!D36,IF(D32="VH",Assumptions!D37,1))))</f>
        <v>1.4</v>
      </c>
      <c r="I32" s="84" t="n">
        <f aca="false">E32*F32*H32</f>
        <v>14</v>
      </c>
      <c r="J32" s="85" t="n">
        <f aca="false">I32*Assumptions!C12/100</f>
        <v>2.8</v>
      </c>
      <c r="K32" s="86" t="n">
        <f aca="false">I32+J32</f>
        <v>16.8</v>
      </c>
      <c r="L32" s="90" t="s">
        <v>165</v>
      </c>
      <c r="M32" s="91" t="s">
        <v>166</v>
      </c>
    </row>
    <row r="33" customFormat="false" ht="21.75" hidden="false" customHeight="true" outlineLevel="0" collapsed="false">
      <c r="B33" s="80"/>
      <c r="C33" s="81" t="s">
        <v>192</v>
      </c>
      <c r="D33" s="7" t="s">
        <v>117</v>
      </c>
      <c r="E33" s="82" t="n">
        <v>1</v>
      </c>
      <c r="F33" s="46" t="n">
        <v>5</v>
      </c>
      <c r="G33" s="33" t="s">
        <v>164</v>
      </c>
      <c r="H33" s="83" t="n">
        <f aca="false">IF(D33="L",Assumptions!D34,IF(D33="M",Assumptions!D35,IF(D33="H",Assumptions!D36,IF(D33="VH",Assumptions!D37,1))))</f>
        <v>1</v>
      </c>
      <c r="I33" s="84" t="n">
        <f aca="false">E33*F33*H33</f>
        <v>5</v>
      </c>
      <c r="J33" s="85" t="n">
        <f aca="false">I33*Assumptions!C12/100</f>
        <v>1</v>
      </c>
      <c r="K33" s="86" t="n">
        <f aca="false">I33+J33</f>
        <v>6</v>
      </c>
      <c r="L33" s="87" t="s">
        <v>165</v>
      </c>
      <c r="M33" s="88" t="s">
        <v>166</v>
      </c>
    </row>
    <row r="34" customFormat="false" ht="21.75" hidden="false" customHeight="true" outlineLevel="0" collapsed="false">
      <c r="B34" s="41"/>
      <c r="C34" s="89" t="s">
        <v>193</v>
      </c>
      <c r="D34" s="7" t="s">
        <v>121</v>
      </c>
      <c r="E34" s="82" t="n">
        <v>3</v>
      </c>
      <c r="F34" s="46" t="n">
        <v>6</v>
      </c>
      <c r="G34" s="36" t="s">
        <v>173</v>
      </c>
      <c r="H34" s="83" t="n">
        <f aca="false">IF(D34="L",Assumptions!D34,IF(D34="M",Assumptions!D35,IF(D34="H",Assumptions!D36,IF(D34="VH",Assumptions!D37,1))))</f>
        <v>1.4</v>
      </c>
      <c r="I34" s="84" t="n">
        <f aca="false">E34*F34*H34</f>
        <v>25.2</v>
      </c>
      <c r="J34" s="85" t="n">
        <f aca="false">I34*Assumptions!C12/100</f>
        <v>5.04</v>
      </c>
      <c r="K34" s="86" t="n">
        <f aca="false">I34+J34</f>
        <v>30.24</v>
      </c>
      <c r="L34" s="90" t="s">
        <v>165</v>
      </c>
      <c r="M34" s="91" t="s">
        <v>166</v>
      </c>
    </row>
    <row r="35" customFormat="false" ht="21.75" hidden="false" customHeight="true" outlineLevel="0" collapsed="false">
      <c r="B35" s="80"/>
      <c r="C35" s="81" t="s">
        <v>194</v>
      </c>
      <c r="D35" s="7" t="s">
        <v>117</v>
      </c>
      <c r="E35" s="82" t="n">
        <v>1</v>
      </c>
      <c r="F35" s="46" t="n">
        <v>6</v>
      </c>
      <c r="G35" s="33" t="s">
        <v>164</v>
      </c>
      <c r="H35" s="83" t="n">
        <f aca="false">IF(D35="L",Assumptions!D34,IF(D35="M",Assumptions!D35,IF(D35="H",Assumptions!D36,IF(D35="VH",Assumptions!D37,1))))</f>
        <v>1</v>
      </c>
      <c r="I35" s="84" t="n">
        <f aca="false">E35*F35*H35</f>
        <v>6</v>
      </c>
      <c r="J35" s="85" t="n">
        <f aca="false">I35*Assumptions!C12/100</f>
        <v>1.2</v>
      </c>
      <c r="K35" s="86" t="n">
        <f aca="false">I35+J35</f>
        <v>7.2</v>
      </c>
      <c r="L35" s="87" t="s">
        <v>165</v>
      </c>
      <c r="M35" s="88" t="s">
        <v>166</v>
      </c>
    </row>
    <row r="36" customFormat="false" ht="21.75" hidden="false" customHeight="true" outlineLevel="0" collapsed="false">
      <c r="B36" s="41" t="s">
        <v>195</v>
      </c>
      <c r="C36" s="89" t="s">
        <v>196</v>
      </c>
      <c r="D36" s="7" t="s">
        <v>117</v>
      </c>
      <c r="E36" s="82" t="n">
        <v>1</v>
      </c>
      <c r="F36" s="46" t="n">
        <v>5</v>
      </c>
      <c r="G36" s="36" t="s">
        <v>164</v>
      </c>
      <c r="H36" s="83" t="n">
        <f aca="false">IF(D36="L",Assumptions!D34,IF(D36="M",Assumptions!D35,IF(D36="H",Assumptions!D36,IF(D36="VH",Assumptions!D37,1))))</f>
        <v>1</v>
      </c>
      <c r="I36" s="84" t="n">
        <f aca="false">E36*F36*H36</f>
        <v>5</v>
      </c>
      <c r="J36" s="85" t="n">
        <f aca="false">I36*Assumptions!C12/100</f>
        <v>1</v>
      </c>
      <c r="K36" s="86" t="n">
        <f aca="false">I36+J36</f>
        <v>6</v>
      </c>
      <c r="L36" s="90" t="s">
        <v>165</v>
      </c>
      <c r="M36" s="91" t="s">
        <v>168</v>
      </c>
    </row>
    <row r="37" customFormat="false" ht="21.75" hidden="false" customHeight="true" outlineLevel="0" collapsed="false">
      <c r="B37" s="80"/>
      <c r="C37" s="81" t="s">
        <v>197</v>
      </c>
      <c r="D37" s="7" t="s">
        <v>117</v>
      </c>
      <c r="E37" s="82" t="n">
        <v>1</v>
      </c>
      <c r="F37" s="46" t="n">
        <v>5</v>
      </c>
      <c r="G37" s="33" t="s">
        <v>164</v>
      </c>
      <c r="H37" s="83" t="n">
        <f aca="false">IF(D37="L",Assumptions!D34,IF(D37="M",Assumptions!D35,IF(D37="H",Assumptions!D36,IF(D37="VH",Assumptions!D37,1))))</f>
        <v>1</v>
      </c>
      <c r="I37" s="84" t="n">
        <f aca="false">E37*F37*H37</f>
        <v>5</v>
      </c>
      <c r="J37" s="85" t="n">
        <f aca="false">I37*Assumptions!C12/100</f>
        <v>1</v>
      </c>
      <c r="K37" s="86" t="n">
        <f aca="false">I37+J37</f>
        <v>6</v>
      </c>
      <c r="L37" s="87" t="s">
        <v>165</v>
      </c>
      <c r="M37" s="88" t="s">
        <v>168</v>
      </c>
    </row>
    <row r="38" customFormat="false" ht="21.75" hidden="false" customHeight="true" outlineLevel="0" collapsed="false">
      <c r="B38" s="41"/>
      <c r="C38" s="89" t="s">
        <v>198</v>
      </c>
      <c r="D38" s="7" t="s">
        <v>117</v>
      </c>
      <c r="E38" s="82" t="n">
        <v>1</v>
      </c>
      <c r="F38" s="46" t="n">
        <v>5</v>
      </c>
      <c r="G38" s="36" t="s">
        <v>164</v>
      </c>
      <c r="H38" s="83" t="n">
        <f aca="false">IF(D34="L",Assumptions!D34,IF(D34="M",Assumptions!D35,IF(D34="H",Assumptions!D36,IF(D34="VH",Assumptions!D37,1))))</f>
        <v>1.4</v>
      </c>
      <c r="I38" s="84" t="n">
        <f aca="false">E38*F38*H38</f>
        <v>7</v>
      </c>
      <c r="J38" s="85" t="n">
        <f aca="false">I38*Assumptions!C12/100</f>
        <v>1.4</v>
      </c>
      <c r="K38" s="86" t="n">
        <f aca="false">I38+J38</f>
        <v>8.4</v>
      </c>
      <c r="L38" s="90" t="s">
        <v>165</v>
      </c>
      <c r="M38" s="91" t="s">
        <v>168</v>
      </c>
    </row>
    <row r="39" customFormat="false" ht="21.75" hidden="false" customHeight="true" outlineLevel="0" collapsed="false">
      <c r="B39" s="80" t="s">
        <v>199</v>
      </c>
      <c r="C39" s="81" t="s">
        <v>200</v>
      </c>
      <c r="D39" s="7" t="s">
        <v>117</v>
      </c>
      <c r="E39" s="82" t="n">
        <v>1</v>
      </c>
      <c r="F39" s="46" t="n">
        <v>4</v>
      </c>
      <c r="G39" s="33" t="s">
        <v>164</v>
      </c>
      <c r="H39" s="83" t="n">
        <f aca="false">IF(D35="L",Assumptions!D34,IF(D35="M",Assumptions!D35,IF(D35="H",Assumptions!D36,IF(D35="VH",Assumptions!D37,1))))</f>
        <v>1</v>
      </c>
      <c r="I39" s="84" t="n">
        <f aca="false">E39*F39*H39</f>
        <v>4</v>
      </c>
      <c r="J39" s="85" t="n">
        <f aca="false">I39*Assumptions!C12/100</f>
        <v>0.8</v>
      </c>
      <c r="K39" s="86" t="n">
        <f aca="false">I39+J39</f>
        <v>4.8</v>
      </c>
      <c r="L39" s="87" t="s">
        <v>165</v>
      </c>
      <c r="M39" s="88" t="s">
        <v>168</v>
      </c>
    </row>
    <row r="40" customFormat="false" ht="21.75" hidden="false" customHeight="true" outlineLevel="0" collapsed="false">
      <c r="B40" s="41"/>
      <c r="C40" s="89" t="s">
        <v>201</v>
      </c>
      <c r="D40" s="7" t="s">
        <v>117</v>
      </c>
      <c r="E40" s="82" t="n">
        <v>1</v>
      </c>
      <c r="F40" s="46" t="n">
        <v>4</v>
      </c>
      <c r="G40" s="36" t="s">
        <v>164</v>
      </c>
      <c r="H40" s="83" t="n">
        <f aca="false">IF(D36="L",Assumptions!D34,IF(D36="M",Assumptions!D35,IF(D36="H",Assumptions!D36,IF(D36="VH",Assumptions!D37,1))))</f>
        <v>1</v>
      </c>
      <c r="I40" s="84" t="n">
        <f aca="false">E40*F40*H40</f>
        <v>4</v>
      </c>
      <c r="J40" s="85" t="n">
        <f aca="false">I40*Assumptions!C12/100</f>
        <v>0.8</v>
      </c>
      <c r="K40" s="86" t="n">
        <f aca="false">I40+J40</f>
        <v>4.8</v>
      </c>
      <c r="L40" s="90" t="s">
        <v>165</v>
      </c>
      <c r="M40" s="91" t="s">
        <v>168</v>
      </c>
    </row>
    <row r="41" customFormat="false" ht="21.75" hidden="false" customHeight="true" outlineLevel="0" collapsed="false">
      <c r="B41" s="80"/>
      <c r="C41" s="81" t="s">
        <v>202</v>
      </c>
      <c r="D41" s="7" t="s">
        <v>121</v>
      </c>
      <c r="E41" s="82" t="n">
        <v>1</v>
      </c>
      <c r="F41" s="46" t="n">
        <v>7</v>
      </c>
      <c r="G41" s="33" t="s">
        <v>173</v>
      </c>
      <c r="H41" s="83" t="n">
        <f aca="false">IF(D37="L",Assumptions!D34,IF(D37="M",Assumptions!D35,IF(D37="H",Assumptions!D36,IF(D37="VH",Assumptions!D37,1))))</f>
        <v>1</v>
      </c>
      <c r="I41" s="84" t="n">
        <f aca="false">E41*F41*H41</f>
        <v>7</v>
      </c>
      <c r="J41" s="85" t="n">
        <f aca="false">I41*Assumptions!C12/100</f>
        <v>1.4</v>
      </c>
      <c r="K41" s="86" t="n">
        <f aca="false">I41+J41</f>
        <v>8.4</v>
      </c>
      <c r="L41" s="87" t="s">
        <v>165</v>
      </c>
      <c r="M41" s="88" t="s">
        <v>166</v>
      </c>
    </row>
    <row r="42" customFormat="false" ht="21.75" hidden="false" customHeight="true" outlineLevel="0" collapsed="false">
      <c r="B42" s="41" t="s">
        <v>203</v>
      </c>
      <c r="C42" s="89" t="s">
        <v>204</v>
      </c>
      <c r="D42" s="7" t="s">
        <v>117</v>
      </c>
      <c r="E42" s="82" t="n">
        <v>1</v>
      </c>
      <c r="F42" s="46" t="n">
        <v>7</v>
      </c>
      <c r="G42" s="36" t="s">
        <v>164</v>
      </c>
      <c r="H42" s="83" t="n">
        <f aca="false">IF(D42="L",Assumptions!D34,IF(D42="M",Assumptions!D35,IF(D42="H",Assumptions!D36,IF(D42="VH",Assumptions!D37,1))))</f>
        <v>1</v>
      </c>
      <c r="I42" s="84" t="n">
        <f aca="false">E42*F42*H42</f>
        <v>7</v>
      </c>
      <c r="J42" s="85" t="n">
        <f aca="false">I42*Assumptions!C12/100</f>
        <v>1.4</v>
      </c>
      <c r="K42" s="86" t="n">
        <f aca="false">I42+J42</f>
        <v>8.4</v>
      </c>
      <c r="L42" s="90" t="s">
        <v>165</v>
      </c>
      <c r="M42" s="91" t="s">
        <v>168</v>
      </c>
    </row>
    <row r="43" customFormat="false" ht="21.75" hidden="false" customHeight="true" outlineLevel="0" collapsed="false">
      <c r="B43" s="80"/>
      <c r="C43" s="81" t="s">
        <v>205</v>
      </c>
      <c r="D43" s="7" t="s">
        <v>121</v>
      </c>
      <c r="E43" s="82" t="n">
        <v>1</v>
      </c>
      <c r="F43" s="46" t="n">
        <v>8</v>
      </c>
      <c r="G43" s="33" t="s">
        <v>182</v>
      </c>
      <c r="H43" s="83" t="n">
        <f aca="false">IF(D43="L",Assumptions!D34,IF(D43="M",Assumptions!D35,IF(D43="H",Assumptions!D36,IF(D43="VH",Assumptions!D37,1))))</f>
        <v>1.4</v>
      </c>
      <c r="I43" s="84" t="n">
        <f aca="false">E43*F43*H43</f>
        <v>11.2</v>
      </c>
      <c r="J43" s="85" t="n">
        <f aca="false">I43*Assumptions!C12/100</f>
        <v>2.24</v>
      </c>
      <c r="K43" s="86" t="n">
        <f aca="false">I43+J43</f>
        <v>13.44</v>
      </c>
      <c r="L43" s="87" t="s">
        <v>165</v>
      </c>
      <c r="M43" s="88" t="s">
        <v>166</v>
      </c>
    </row>
    <row r="44" customFormat="false" ht="21.75" hidden="false" customHeight="true" outlineLevel="0" collapsed="false">
      <c r="B44" s="41" t="s">
        <v>206</v>
      </c>
      <c r="C44" s="89" t="s">
        <v>207</v>
      </c>
      <c r="D44" s="7" t="s">
        <v>117</v>
      </c>
      <c r="E44" s="82" t="n">
        <v>1</v>
      </c>
      <c r="F44" s="46" t="n">
        <v>4</v>
      </c>
      <c r="G44" s="36" t="s">
        <v>164</v>
      </c>
      <c r="H44" s="83" t="n">
        <f aca="false">IF(D44="L",Assumptions!D34,IF(D44="M",Assumptions!D35,IF(D44="H",Assumptions!D36,IF(D44="VH",Assumptions!D37,1))))</f>
        <v>1</v>
      </c>
      <c r="I44" s="84" t="n">
        <f aca="false">E44*F44*H44</f>
        <v>4</v>
      </c>
      <c r="J44" s="85" t="n">
        <f aca="false">I44*Assumptions!C12/100</f>
        <v>0.8</v>
      </c>
      <c r="K44" s="86" t="n">
        <f aca="false">I44+J44</f>
        <v>4.8</v>
      </c>
      <c r="L44" s="90" t="s">
        <v>165</v>
      </c>
      <c r="M44" s="91" t="s">
        <v>168</v>
      </c>
    </row>
    <row r="45" customFormat="false" ht="21.75" hidden="false" customHeight="true" outlineLevel="0" collapsed="false">
      <c r="B45" s="80" t="s">
        <v>208</v>
      </c>
      <c r="C45" s="81" t="s">
        <v>209</v>
      </c>
      <c r="D45" s="7" t="s">
        <v>121</v>
      </c>
      <c r="E45" s="82" t="n">
        <v>3</v>
      </c>
      <c r="F45" s="46" t="n">
        <v>6</v>
      </c>
      <c r="G45" s="33" t="s">
        <v>173</v>
      </c>
      <c r="H45" s="83" t="n">
        <f aca="false">IF(D45="L",Assumptions!D34,IF(D45="M",Assumptions!D35,IF(D45="H",Assumptions!D36,IF(D45="VH",Assumptions!D37,1))))</f>
        <v>1.4</v>
      </c>
      <c r="I45" s="84" t="n">
        <f aca="false">E45*F45*H45</f>
        <v>25.2</v>
      </c>
      <c r="J45" s="85" t="n">
        <f aca="false">I45*Assumptions!C12/100</f>
        <v>5.04</v>
      </c>
      <c r="K45" s="86" t="n">
        <f aca="false">I45+J45</f>
        <v>30.24</v>
      </c>
      <c r="L45" s="87" t="s">
        <v>165</v>
      </c>
      <c r="M45" s="88" t="s">
        <v>210</v>
      </c>
    </row>
    <row r="46" customFormat="false" ht="21.75" hidden="false" customHeight="true" outlineLevel="0" collapsed="false">
      <c r="B46" s="41" t="s">
        <v>211</v>
      </c>
      <c r="C46" s="89" t="s">
        <v>212</v>
      </c>
      <c r="D46" s="7" t="s">
        <v>113</v>
      </c>
      <c r="E46" s="82" t="n">
        <v>1</v>
      </c>
      <c r="F46" s="46" t="n">
        <v>4</v>
      </c>
      <c r="G46" s="36" t="s">
        <v>164</v>
      </c>
      <c r="H46" s="83" t="n">
        <f aca="false">IF(D46="L",Assumptions!D34,IF(D46="M",Assumptions!D35,IF(D46="H",Assumptions!D36,IF(D46="VH",Assumptions!D37,1))))</f>
        <v>0.7</v>
      </c>
      <c r="I46" s="84" t="n">
        <f aca="false">E46*F46*H46</f>
        <v>2.8</v>
      </c>
      <c r="J46" s="85" t="n">
        <f aca="false">I46*Assumptions!C12/100</f>
        <v>0.56</v>
      </c>
      <c r="K46" s="86" t="n">
        <f aca="false">I46+J46</f>
        <v>3.36</v>
      </c>
      <c r="L46" s="90" t="s">
        <v>165</v>
      </c>
      <c r="M46" s="91" t="s">
        <v>168</v>
      </c>
    </row>
    <row r="47" customFormat="false" ht="21.75" hidden="false" customHeight="true" outlineLevel="0" collapsed="false">
      <c r="B47" s="80" t="s">
        <v>213</v>
      </c>
      <c r="C47" s="81" t="s">
        <v>214</v>
      </c>
      <c r="D47" s="7" t="s">
        <v>117</v>
      </c>
      <c r="E47" s="82" t="n">
        <v>1</v>
      </c>
      <c r="F47" s="46" t="n">
        <v>6</v>
      </c>
      <c r="G47" s="33" t="s">
        <v>164</v>
      </c>
      <c r="H47" s="83" t="n">
        <f aca="false">IF(D47="L",Assumptions!D34,IF(D47="M",Assumptions!D35,IF(D47="H",Assumptions!D36,IF(D47="VH",Assumptions!D37,1))))</f>
        <v>1</v>
      </c>
      <c r="I47" s="84" t="n">
        <f aca="false">E47*F47*H47</f>
        <v>6</v>
      </c>
      <c r="J47" s="85" t="n">
        <f aca="false">I47*Assumptions!C12/100</f>
        <v>1.2</v>
      </c>
      <c r="K47" s="86" t="n">
        <f aca="false">I47+J47</f>
        <v>7.2</v>
      </c>
      <c r="L47" s="87" t="s">
        <v>165</v>
      </c>
      <c r="M47" s="88" t="s">
        <v>168</v>
      </c>
    </row>
    <row r="48" customFormat="false" ht="21.75" hidden="false" customHeight="true" outlineLevel="0" collapsed="false">
      <c r="B48" s="41"/>
      <c r="C48" s="89" t="s">
        <v>215</v>
      </c>
      <c r="D48" s="7" t="s">
        <v>117</v>
      </c>
      <c r="E48" s="82" t="n">
        <v>1</v>
      </c>
      <c r="F48" s="46" t="n">
        <v>5</v>
      </c>
      <c r="G48" s="36" t="s">
        <v>164</v>
      </c>
      <c r="H48" s="83" t="n">
        <f aca="false">IF(D48="L",Assumptions!D34,IF(D48="M",Assumptions!D35,IF(D48="H",Assumptions!D36,IF(D48="VH",Assumptions!D37,1))))</f>
        <v>1</v>
      </c>
      <c r="I48" s="84" t="n">
        <f aca="false">E48*F48*H48</f>
        <v>5</v>
      </c>
      <c r="J48" s="85" t="n">
        <f aca="false">I48*Assumptions!C12/100</f>
        <v>1</v>
      </c>
      <c r="K48" s="86" t="n">
        <f aca="false">I48+J48</f>
        <v>6</v>
      </c>
      <c r="L48" s="90" t="s">
        <v>165</v>
      </c>
      <c r="M48" s="91" t="s">
        <v>168</v>
      </c>
    </row>
    <row r="49" customFormat="false" ht="21.75" hidden="false" customHeight="true" outlineLevel="0" collapsed="false">
      <c r="B49" s="80"/>
      <c r="C49" s="81" t="s">
        <v>216</v>
      </c>
      <c r="D49" s="7" t="s">
        <v>117</v>
      </c>
      <c r="E49" s="82" t="n">
        <v>1</v>
      </c>
      <c r="F49" s="46" t="n">
        <v>5</v>
      </c>
      <c r="G49" s="33" t="s">
        <v>173</v>
      </c>
      <c r="H49" s="83" t="n">
        <f aca="false">IF(D49="L",Assumptions!D34,IF(D49="M",Assumptions!D35,IF(D49="H",Assumptions!D36,IF(D49="VH",Assumptions!D37,1))))</f>
        <v>1</v>
      </c>
      <c r="I49" s="84" t="n">
        <f aca="false">E49*F49*H49</f>
        <v>5</v>
      </c>
      <c r="J49" s="85" t="n">
        <f aca="false">I49*Assumptions!C12/100</f>
        <v>1</v>
      </c>
      <c r="K49" s="86" t="n">
        <f aca="false">I49+J49</f>
        <v>6</v>
      </c>
      <c r="L49" s="87" t="s">
        <v>165</v>
      </c>
      <c r="M49" s="88" t="s">
        <v>168</v>
      </c>
    </row>
    <row r="50" customFormat="false" ht="21.75" hidden="false" customHeight="true" outlineLevel="0" collapsed="false">
      <c r="B50" s="41" t="s">
        <v>217</v>
      </c>
      <c r="C50" s="89" t="s">
        <v>218</v>
      </c>
      <c r="D50" s="7" t="s">
        <v>117</v>
      </c>
      <c r="E50" s="82" t="n">
        <v>1</v>
      </c>
      <c r="F50" s="46" t="n">
        <v>5</v>
      </c>
      <c r="G50" s="36" t="s">
        <v>164</v>
      </c>
      <c r="H50" s="83" t="n">
        <f aca="false">IF(D50="L",Assumptions!D34,IF(D50="M",Assumptions!D35,IF(D50="H",Assumptions!D36,IF(D50="VH",Assumptions!D37,1))))</f>
        <v>1</v>
      </c>
      <c r="I50" s="84" t="n">
        <f aca="false">E50*F50*H50</f>
        <v>5</v>
      </c>
      <c r="J50" s="85" t="n">
        <f aca="false">I50*Assumptions!C12/100</f>
        <v>1</v>
      </c>
      <c r="K50" s="86" t="n">
        <f aca="false">I50+J50</f>
        <v>6</v>
      </c>
      <c r="L50" s="90" t="s">
        <v>165</v>
      </c>
      <c r="M50" s="91" t="s">
        <v>166</v>
      </c>
    </row>
    <row r="51" customFormat="false" ht="21.75" hidden="false" customHeight="true" outlineLevel="0" collapsed="false">
      <c r="B51" s="80"/>
      <c r="C51" s="81" t="s">
        <v>219</v>
      </c>
      <c r="D51" s="7" t="s">
        <v>117</v>
      </c>
      <c r="E51" s="82" t="n">
        <v>1</v>
      </c>
      <c r="F51" s="46" t="n">
        <v>6</v>
      </c>
      <c r="G51" s="33" t="s">
        <v>164</v>
      </c>
      <c r="H51" s="83" t="n">
        <f aca="false">IF(D51="L",Assumptions!D34,IF(D51="M",Assumptions!D35,IF(D51="H",Assumptions!D36,IF(D51="VH",Assumptions!D37,1))))</f>
        <v>1</v>
      </c>
      <c r="I51" s="84" t="n">
        <f aca="false">E51*F51*H51</f>
        <v>6</v>
      </c>
      <c r="J51" s="85" t="n">
        <f aca="false">I51*Assumptions!C12/100</f>
        <v>1.2</v>
      </c>
      <c r="K51" s="86" t="n">
        <f aca="false">I51+J51</f>
        <v>7.2</v>
      </c>
      <c r="L51" s="87" t="s">
        <v>165</v>
      </c>
      <c r="M51" s="88" t="s">
        <v>168</v>
      </c>
    </row>
    <row r="52" customFormat="false" ht="21.75" hidden="false" customHeight="true" outlineLevel="0" collapsed="false">
      <c r="B52" s="41"/>
      <c r="C52" s="89" t="s">
        <v>220</v>
      </c>
      <c r="D52" s="7" t="s">
        <v>121</v>
      </c>
      <c r="E52" s="82" t="n">
        <v>1</v>
      </c>
      <c r="F52" s="46" t="n">
        <v>5</v>
      </c>
      <c r="G52" s="36" t="s">
        <v>164</v>
      </c>
      <c r="H52" s="83" t="n">
        <f aca="false">IF(D52="L",Assumptions!D34,IF(D52="M",Assumptions!D35,IF(D52="H",Assumptions!D36,IF(D52="VH",Assumptions!D37,1))))</f>
        <v>1.4</v>
      </c>
      <c r="I52" s="84" t="n">
        <f aca="false">E52*F52*H52</f>
        <v>7</v>
      </c>
      <c r="J52" s="85" t="n">
        <f aca="false">I52*Assumptions!C12/100</f>
        <v>1.4</v>
      </c>
      <c r="K52" s="86" t="n">
        <f aca="false">I52+J52</f>
        <v>8.4</v>
      </c>
      <c r="L52" s="90" t="s">
        <v>165</v>
      </c>
      <c r="M52" s="91" t="s">
        <v>168</v>
      </c>
    </row>
    <row r="53" customFormat="false" ht="21.75" hidden="false" customHeight="true" outlineLevel="0" collapsed="false">
      <c r="B53" s="80" t="s">
        <v>221</v>
      </c>
      <c r="C53" s="81" t="s">
        <v>222</v>
      </c>
      <c r="D53" s="7" t="s">
        <v>121</v>
      </c>
      <c r="E53" s="82" t="n">
        <v>1</v>
      </c>
      <c r="F53" s="46" t="n">
        <v>8</v>
      </c>
      <c r="G53" s="33" t="s">
        <v>173</v>
      </c>
      <c r="H53" s="83" t="n">
        <f aca="false">IF(D53="L",Assumptions!D34,IF(D53="M",Assumptions!D35,IF(D53="H",Assumptions!D36,IF(D53="VH",Assumptions!D37,1))))</f>
        <v>1.4</v>
      </c>
      <c r="I53" s="84" t="n">
        <f aca="false">E53*F53*H53</f>
        <v>11.2</v>
      </c>
      <c r="J53" s="85" t="n">
        <f aca="false">I53*Assumptions!C12/100</f>
        <v>2.24</v>
      </c>
      <c r="K53" s="86" t="n">
        <f aca="false">I53+J53</f>
        <v>13.44</v>
      </c>
      <c r="L53" s="87" t="s">
        <v>165</v>
      </c>
      <c r="M53" s="88" t="s">
        <v>166</v>
      </c>
    </row>
    <row r="54" customFormat="false" ht="21.75" hidden="false" customHeight="true" outlineLevel="0" collapsed="false">
      <c r="B54" s="41"/>
      <c r="C54" s="89" t="s">
        <v>223</v>
      </c>
      <c r="D54" s="7" t="s">
        <v>117</v>
      </c>
      <c r="E54" s="82" t="n">
        <v>1</v>
      </c>
      <c r="F54" s="46" t="n">
        <v>6</v>
      </c>
      <c r="G54" s="36" t="s">
        <v>164</v>
      </c>
      <c r="H54" s="83" t="n">
        <f aca="false">IF(D54="L",Assumptions!D34,IF(D54="M",Assumptions!D35,IF(D54="H",Assumptions!D36,IF(D54="VH",Assumptions!D37,1))))</f>
        <v>1</v>
      </c>
      <c r="I54" s="84" t="n">
        <f aca="false">E54*F54*H54</f>
        <v>6</v>
      </c>
      <c r="J54" s="85" t="n">
        <f aca="false">I54*Assumptions!C12/100</f>
        <v>1.2</v>
      </c>
      <c r="K54" s="86" t="n">
        <f aca="false">I54+J54</f>
        <v>7.2</v>
      </c>
      <c r="L54" s="90" t="s">
        <v>165</v>
      </c>
      <c r="M54" s="91" t="s">
        <v>166</v>
      </c>
    </row>
    <row r="55" customFormat="false" ht="21.75" hidden="false" customHeight="true" outlineLevel="0" collapsed="false">
      <c r="B55" s="80" t="s">
        <v>224</v>
      </c>
      <c r="C55" s="81" t="s">
        <v>225</v>
      </c>
      <c r="D55" s="7" t="s">
        <v>121</v>
      </c>
      <c r="E55" s="82" t="n">
        <v>1</v>
      </c>
      <c r="F55" s="46" t="n">
        <v>8</v>
      </c>
      <c r="G55" s="33" t="s">
        <v>164</v>
      </c>
      <c r="H55" s="83" t="n">
        <f aca="false">IF(D55="L",Assumptions!D34,IF(D55="M",Assumptions!D35,IF(D55="H",Assumptions!D36,IF(D55="VH",Assumptions!D37,1))))</f>
        <v>1.4</v>
      </c>
      <c r="I55" s="84" t="n">
        <f aca="false">E55*F55*H55</f>
        <v>11.2</v>
      </c>
      <c r="J55" s="85" t="n">
        <f aca="false">I55*Assumptions!C12/100</f>
        <v>2.24</v>
      </c>
      <c r="K55" s="86" t="n">
        <f aca="false">I55+J55</f>
        <v>13.44</v>
      </c>
      <c r="L55" s="87" t="s">
        <v>165</v>
      </c>
      <c r="M55" s="88" t="s">
        <v>166</v>
      </c>
    </row>
    <row r="56" customFormat="false" ht="21.75" hidden="false" customHeight="true" outlineLevel="0" collapsed="false">
      <c r="B56" s="41"/>
      <c r="C56" s="89" t="s">
        <v>226</v>
      </c>
      <c r="D56" s="7" t="s">
        <v>121</v>
      </c>
      <c r="E56" s="82" t="n">
        <v>1</v>
      </c>
      <c r="F56" s="46" t="n">
        <v>7</v>
      </c>
      <c r="G56" s="36" t="s">
        <v>164</v>
      </c>
      <c r="H56" s="83" t="n">
        <f aca="false">IF(D56="L",Assumptions!D34,IF(D56="M",Assumptions!D35,IF(D56="H",Assumptions!D36,IF(D56="VH",Assumptions!D37,1))))</f>
        <v>1.4</v>
      </c>
      <c r="I56" s="84" t="n">
        <f aca="false">E56*F56*H56</f>
        <v>9.8</v>
      </c>
      <c r="J56" s="85" t="n">
        <f aca="false">I56*Assumptions!C12/100</f>
        <v>1.96</v>
      </c>
      <c r="K56" s="86" t="n">
        <f aca="false">I56+J56</f>
        <v>11.76</v>
      </c>
      <c r="L56" s="90" t="s">
        <v>165</v>
      </c>
      <c r="M56" s="91" t="s">
        <v>166</v>
      </c>
    </row>
    <row r="57" customFormat="false" ht="21.75" hidden="false" customHeight="true" outlineLevel="0" collapsed="false">
      <c r="B57" s="80" t="s">
        <v>227</v>
      </c>
      <c r="C57" s="81" t="s">
        <v>228</v>
      </c>
      <c r="D57" s="7" t="s">
        <v>121</v>
      </c>
      <c r="E57" s="82" t="n">
        <v>1</v>
      </c>
      <c r="F57" s="46" t="n">
        <v>10</v>
      </c>
      <c r="G57" s="33" t="s">
        <v>182</v>
      </c>
      <c r="H57" s="83" t="n">
        <f aca="false">IF(D57="L",Assumptions!D34,IF(D57="M",Assumptions!D35,IF(D57="H",Assumptions!D36,IF(D57="VH",Assumptions!D37,1))))</f>
        <v>1.4</v>
      </c>
      <c r="I57" s="84" t="n">
        <f aca="false">E57*F57*H57</f>
        <v>14</v>
      </c>
      <c r="J57" s="85" t="n">
        <f aca="false">I57*Assumptions!C12/100</f>
        <v>2.8</v>
      </c>
      <c r="K57" s="86" t="n">
        <f aca="false">I57+J57</f>
        <v>16.8</v>
      </c>
      <c r="L57" s="87" t="s">
        <v>165</v>
      </c>
      <c r="M57" s="88" t="s">
        <v>166</v>
      </c>
    </row>
    <row r="58" customFormat="false" ht="21.75" hidden="false" customHeight="true" outlineLevel="0" collapsed="false">
      <c r="B58" s="41"/>
      <c r="C58" s="89" t="s">
        <v>229</v>
      </c>
      <c r="D58" s="7" t="s">
        <v>121</v>
      </c>
      <c r="E58" s="82" t="n">
        <v>1</v>
      </c>
      <c r="F58" s="46" t="n">
        <v>8</v>
      </c>
      <c r="G58" s="36" t="s">
        <v>182</v>
      </c>
      <c r="H58" s="83" t="n">
        <f aca="false">IF(D58="L",Assumptions!D34,IF(D58="M",Assumptions!D35,IF(D58="H",Assumptions!D36,IF(D58="VH",Assumptions!D37,1))))</f>
        <v>1.4</v>
      </c>
      <c r="I58" s="84" t="n">
        <f aca="false">E58*F58*H58</f>
        <v>11.2</v>
      </c>
      <c r="J58" s="85" t="n">
        <f aca="false">I58*Assumptions!C12/100</f>
        <v>2.24</v>
      </c>
      <c r="K58" s="86" t="n">
        <f aca="false">I58+J58</f>
        <v>13.44</v>
      </c>
      <c r="L58" s="90" t="s">
        <v>165</v>
      </c>
      <c r="M58" s="91" t="s">
        <v>166</v>
      </c>
    </row>
    <row r="59" customFormat="false" ht="21.75" hidden="false" customHeight="true" outlineLevel="0" collapsed="false">
      <c r="B59" s="80" t="s">
        <v>230</v>
      </c>
      <c r="C59" s="81" t="s">
        <v>231</v>
      </c>
      <c r="D59" s="7" t="s">
        <v>117</v>
      </c>
      <c r="E59" s="82" t="n">
        <v>1</v>
      </c>
      <c r="F59" s="46" t="n">
        <v>5</v>
      </c>
      <c r="G59" s="33" t="s">
        <v>164</v>
      </c>
      <c r="H59" s="83" t="n">
        <f aca="false">IF(D59="L",Assumptions!D34,IF(D59="M",Assumptions!D35,IF(D59="H",Assumptions!D36,IF(D59="VH",Assumptions!D37,1))))</f>
        <v>1</v>
      </c>
      <c r="I59" s="84" t="n">
        <f aca="false">E59*F59*H59</f>
        <v>5</v>
      </c>
      <c r="J59" s="85" t="n">
        <f aca="false">I59*Assumptions!C12/100</f>
        <v>1</v>
      </c>
      <c r="K59" s="86" t="n">
        <f aca="false">I59+J59</f>
        <v>6</v>
      </c>
      <c r="L59" s="87" t="s">
        <v>165</v>
      </c>
      <c r="M59" s="88" t="s">
        <v>168</v>
      </c>
    </row>
    <row r="60" customFormat="false" ht="21.75" hidden="false" customHeight="true" outlineLevel="0" collapsed="false">
      <c r="B60" s="41" t="s">
        <v>232</v>
      </c>
      <c r="C60" s="89" t="s">
        <v>233</v>
      </c>
      <c r="D60" s="7" t="s">
        <v>121</v>
      </c>
      <c r="E60" s="82" t="n">
        <v>1</v>
      </c>
      <c r="F60" s="46" t="n">
        <v>12</v>
      </c>
      <c r="G60" s="36" t="s">
        <v>173</v>
      </c>
      <c r="H60" s="83" t="n">
        <f aca="false">IF(D60="L",Assumptions!D34,IF(D60="M",Assumptions!D35,IF(D60="H",Assumptions!D36,IF(D60="VH",Assumptions!D37,1))))</f>
        <v>1.4</v>
      </c>
      <c r="I60" s="84" t="n">
        <f aca="false">E60*F60*H60</f>
        <v>16.8</v>
      </c>
      <c r="J60" s="85" t="n">
        <f aca="false">I60*Assumptions!C12/100</f>
        <v>3.36</v>
      </c>
      <c r="K60" s="86" t="n">
        <f aca="false">I60+J60</f>
        <v>20.16</v>
      </c>
      <c r="L60" s="90" t="s">
        <v>165</v>
      </c>
      <c r="M60" s="91" t="s">
        <v>166</v>
      </c>
    </row>
    <row r="61" customFormat="false" ht="21.75" hidden="false" customHeight="true" outlineLevel="0" collapsed="false">
      <c r="B61" s="80"/>
      <c r="C61" s="81" t="s">
        <v>234</v>
      </c>
      <c r="D61" s="7" t="s">
        <v>121</v>
      </c>
      <c r="E61" s="82" t="n">
        <v>1</v>
      </c>
      <c r="F61" s="46" t="n">
        <v>8</v>
      </c>
      <c r="G61" s="33" t="s">
        <v>182</v>
      </c>
      <c r="H61" s="83" t="n">
        <f aca="false">IF(D61="L",Assumptions!D34,IF(D61="M",Assumptions!D35,IF(D61="H",Assumptions!D36,IF(D61="VH",Assumptions!D37,1))))</f>
        <v>1.4</v>
      </c>
      <c r="I61" s="84" t="n">
        <f aca="false">E61*F61*H61</f>
        <v>11.2</v>
      </c>
      <c r="J61" s="85" t="n">
        <f aca="false">I61*Assumptions!C12/100</f>
        <v>2.24</v>
      </c>
      <c r="K61" s="86" t="n">
        <f aca="false">I61+J61</f>
        <v>13.44</v>
      </c>
      <c r="L61" s="87" t="s">
        <v>165</v>
      </c>
      <c r="M61" s="88" t="s">
        <v>166</v>
      </c>
    </row>
    <row r="62" customFormat="false" ht="21.75" hidden="false" customHeight="true" outlineLevel="0" collapsed="false">
      <c r="B62" s="41" t="s">
        <v>235</v>
      </c>
      <c r="C62" s="89" t="s">
        <v>236</v>
      </c>
      <c r="D62" s="7" t="s">
        <v>121</v>
      </c>
      <c r="E62" s="82" t="n">
        <v>1</v>
      </c>
      <c r="F62" s="46" t="n">
        <v>12</v>
      </c>
      <c r="G62" s="36" t="s">
        <v>182</v>
      </c>
      <c r="H62" s="83" t="n">
        <f aca="false">IF(D62="L",Assumptions!D34,IF(D62="M",Assumptions!D35,IF(D62="H",Assumptions!D36,IF(D62="VH",Assumptions!D37,1))))</f>
        <v>1.4</v>
      </c>
      <c r="I62" s="84" t="n">
        <f aca="false">E62*F62*H62</f>
        <v>16.8</v>
      </c>
      <c r="J62" s="85" t="n">
        <f aca="false">I62*Assumptions!C12/100</f>
        <v>3.36</v>
      </c>
      <c r="K62" s="86" t="n">
        <f aca="false">I62+J62</f>
        <v>20.16</v>
      </c>
      <c r="L62" s="90" t="s">
        <v>165</v>
      </c>
      <c r="M62" s="91" t="s">
        <v>166</v>
      </c>
    </row>
    <row r="63" customFormat="false" ht="25.5" hidden="false" customHeight="true" outlineLevel="0" collapsed="false">
      <c r="B63" s="80" t="s">
        <v>237</v>
      </c>
      <c r="C63" s="80"/>
      <c r="D63" s="80"/>
      <c r="E63" s="80"/>
      <c r="F63" s="80"/>
      <c r="G63" s="80"/>
      <c r="H63" s="80"/>
      <c r="I63" s="84" t="n">
        <f aca="false">E63*F63*H63</f>
        <v>0</v>
      </c>
      <c r="J63" s="85" t="n">
        <f aca="false">I63*Assumptions!C7/100</f>
        <v>0</v>
      </c>
      <c r="K63" s="86" t="n">
        <f aca="false">I63+J63</f>
        <v>0</v>
      </c>
      <c r="L63" s="87" t="s">
        <v>165</v>
      </c>
      <c r="M63" s="88" t="s">
        <v>168</v>
      </c>
    </row>
    <row r="64" customFormat="false" ht="21.75" hidden="false" customHeight="true" outlineLevel="0" collapsed="false">
      <c r="B64" s="41" t="s">
        <v>238</v>
      </c>
      <c r="C64" s="41"/>
      <c r="D64" s="41"/>
      <c r="E64" s="41"/>
      <c r="F64" s="41"/>
      <c r="G64" s="41"/>
      <c r="H64" s="41"/>
      <c r="I64" s="84" t="n">
        <f aca="false">E64*F64*H64</f>
        <v>0</v>
      </c>
      <c r="J64" s="85" t="n">
        <f aca="false">I64*Assumptions!C7/100</f>
        <v>0</v>
      </c>
      <c r="K64" s="86" t="n">
        <f aca="false">I64+J64</f>
        <v>0</v>
      </c>
      <c r="L64" s="90" t="s">
        <v>165</v>
      </c>
      <c r="M64" s="91" t="s">
        <v>166</v>
      </c>
    </row>
    <row r="65" customFormat="false" ht="15" hidden="false" customHeight="true" outlineLevel="0" collapsed="false">
      <c r="B65" s="80"/>
      <c r="C65" s="81" t="s">
        <v>239</v>
      </c>
      <c r="D65" s="7" t="s">
        <v>121</v>
      </c>
      <c r="E65" s="82" t="n">
        <v>1</v>
      </c>
      <c r="F65" s="46" t="n">
        <v>8</v>
      </c>
      <c r="G65" s="33" t="s">
        <v>182</v>
      </c>
      <c r="H65" s="83" t="n">
        <f aca="false">IF(D65="L",Assumptions!D34,IF(D65="M",Assumptions!D35,IF(D65="H",Assumptions!D36,IF(D65="VH",Assumptions!D37,1))))</f>
        <v>1.4</v>
      </c>
      <c r="I65" s="84" t="n">
        <f aca="false">E65*F65*H65</f>
        <v>11.2</v>
      </c>
      <c r="J65" s="85" t="n">
        <f aca="false">I65*Assumptions!C12/100</f>
        <v>2.24</v>
      </c>
      <c r="K65" s="86" t="n">
        <f aca="false">I65+J65</f>
        <v>13.44</v>
      </c>
      <c r="L65" s="87" t="s">
        <v>165</v>
      </c>
      <c r="M65" s="88" t="s">
        <v>210</v>
      </c>
    </row>
    <row r="66" customFormat="false" ht="15" hidden="false" customHeight="true" outlineLevel="0" collapsed="false">
      <c r="B66" s="41"/>
      <c r="C66" s="89" t="s">
        <v>240</v>
      </c>
      <c r="D66" s="7" t="s">
        <v>121</v>
      </c>
      <c r="E66" s="82" t="n">
        <v>1</v>
      </c>
      <c r="F66" s="46" t="n">
        <v>10</v>
      </c>
      <c r="G66" s="36" t="s">
        <v>173</v>
      </c>
      <c r="H66" s="83" t="n">
        <f aca="false">IF(D66="L",Assumptions!D34,IF(D66="M",Assumptions!D35,IF(D66="H",Assumptions!D36,IF(D66="VH",Assumptions!D37,1))))</f>
        <v>1.4</v>
      </c>
      <c r="I66" s="84" t="n">
        <f aca="false">E66*F66*H66</f>
        <v>14</v>
      </c>
      <c r="J66" s="85" t="n">
        <f aca="false">I66*Assumptions!C12/100</f>
        <v>2.8</v>
      </c>
      <c r="K66" s="86" t="n">
        <f aca="false">I66+J66</f>
        <v>16.8</v>
      </c>
      <c r="L66" s="90" t="s">
        <v>165</v>
      </c>
      <c r="M66" s="91" t="s">
        <v>166</v>
      </c>
    </row>
    <row r="67" customFormat="false" ht="15" hidden="false" customHeight="true" outlineLevel="0" collapsed="false">
      <c r="B67" s="80"/>
      <c r="C67" s="81" t="s">
        <v>241</v>
      </c>
      <c r="D67" s="7" t="s">
        <v>117</v>
      </c>
      <c r="E67" s="82" t="n">
        <v>1</v>
      </c>
      <c r="F67" s="46" t="n">
        <v>6</v>
      </c>
      <c r="G67" s="33" t="s">
        <v>164</v>
      </c>
      <c r="H67" s="83" t="n">
        <f aca="false">IF(D67="L",Assumptions!D34,IF(D67="M",Assumptions!D35,IF(D67="H",Assumptions!D36,IF(D67="VH",Assumptions!D37,1))))</f>
        <v>1</v>
      </c>
      <c r="I67" s="84" t="n">
        <f aca="false">E67*F67*H67</f>
        <v>6</v>
      </c>
      <c r="J67" s="85" t="n">
        <f aca="false">I67*Assumptions!C12/100</f>
        <v>1.2</v>
      </c>
      <c r="K67" s="86" t="n">
        <f aca="false">I67+J67</f>
        <v>7.2</v>
      </c>
      <c r="L67" s="87" t="s">
        <v>165</v>
      </c>
      <c r="M67" s="88" t="s">
        <v>210</v>
      </c>
    </row>
    <row r="68" customFormat="false" ht="21.75" hidden="false" customHeight="true" outlineLevel="0" collapsed="false">
      <c r="B68" s="41" t="s">
        <v>242</v>
      </c>
      <c r="C68" s="89" t="s">
        <v>243</v>
      </c>
      <c r="D68" s="7" t="s">
        <v>117</v>
      </c>
      <c r="E68" s="82" t="n">
        <v>1</v>
      </c>
      <c r="F68" s="46" t="n">
        <v>8</v>
      </c>
      <c r="G68" s="36" t="s">
        <v>164</v>
      </c>
      <c r="H68" s="83" t="n">
        <f aca="false">IF(D68="L",Assumptions!D34,IF(D68="M",Assumptions!D35,IF(D68="H",Assumptions!D36,IF(D68="VH",Assumptions!D37,1))))</f>
        <v>1</v>
      </c>
      <c r="I68" s="84" t="n">
        <f aca="false">E68*F68*H68</f>
        <v>8</v>
      </c>
      <c r="J68" s="85" t="n">
        <f aca="false">I68*Assumptions!C12/100</f>
        <v>1.6</v>
      </c>
      <c r="K68" s="86" t="n">
        <f aca="false">I68+J68</f>
        <v>9.6</v>
      </c>
      <c r="L68" s="90" t="s">
        <v>165</v>
      </c>
      <c r="M68" s="91" t="s">
        <v>244</v>
      </c>
    </row>
    <row r="69" customFormat="false" ht="15" hidden="false" customHeight="true" outlineLevel="0" collapsed="false">
      <c r="B69" s="80"/>
      <c r="C69" s="81" t="s">
        <v>245</v>
      </c>
      <c r="D69" s="7" t="s">
        <v>117</v>
      </c>
      <c r="E69" s="82" t="n">
        <v>1</v>
      </c>
      <c r="F69" s="46" t="n">
        <v>5</v>
      </c>
      <c r="G69" s="33" t="s">
        <v>164</v>
      </c>
      <c r="H69" s="83" t="n">
        <f aca="false">IF(D69="L",Assumptions!D34,IF(D69="M",Assumptions!D35,IF(D69="H",Assumptions!D36,IF(D69="VH",Assumptions!D37,1))))</f>
        <v>1</v>
      </c>
      <c r="I69" s="84" t="n">
        <f aca="false">E69*F69*H69</f>
        <v>5</v>
      </c>
      <c r="J69" s="85" t="n">
        <f aca="false">I69*Assumptions!C12/100</f>
        <v>1</v>
      </c>
      <c r="K69" s="86" t="n">
        <f aca="false">I69+J69</f>
        <v>6</v>
      </c>
      <c r="L69" s="87" t="s">
        <v>165</v>
      </c>
      <c r="M69" s="88" t="s">
        <v>244</v>
      </c>
    </row>
    <row r="70" customFormat="false" ht="15" hidden="false" customHeight="true" outlineLevel="0" collapsed="false">
      <c r="B70" s="41"/>
      <c r="C70" s="89" t="s">
        <v>246</v>
      </c>
      <c r="D70" s="7" t="s">
        <v>113</v>
      </c>
      <c r="E70" s="82" t="n">
        <v>1</v>
      </c>
      <c r="F70" s="46" t="n">
        <v>3</v>
      </c>
      <c r="G70" s="36" t="s">
        <v>164</v>
      </c>
      <c r="H70" s="83" t="n">
        <f aca="false">IF(D70="L",Assumptions!D34,IF(D70="M",Assumptions!D35,IF(D70="H",Assumptions!D36,IF(D70="VH",Assumptions!D37,1))))</f>
        <v>0.7</v>
      </c>
      <c r="I70" s="84" t="n">
        <f aca="false">E70*F70*H70</f>
        <v>2.1</v>
      </c>
      <c r="J70" s="85" t="n">
        <f aca="false">I70*Assumptions!C12/100</f>
        <v>0.42</v>
      </c>
      <c r="K70" s="86" t="n">
        <f aca="false">I70+J70</f>
        <v>2.52</v>
      </c>
      <c r="L70" s="90" t="s">
        <v>165</v>
      </c>
      <c r="M70" s="91" t="s">
        <v>210</v>
      </c>
    </row>
    <row r="71" customFormat="false" ht="15" hidden="false" customHeight="true" outlineLevel="0" collapsed="false">
      <c r="B71" s="92" t="s">
        <v>247</v>
      </c>
      <c r="C71" s="93"/>
      <c r="D71" s="93"/>
      <c r="E71" s="93"/>
      <c r="F71" s="93"/>
      <c r="G71" s="93"/>
      <c r="H71" s="93"/>
      <c r="I71" s="94" t="n">
        <f aca="false">SUM(I15:I70)</f>
        <v>466.2</v>
      </c>
      <c r="J71" s="94" t="n">
        <f aca="false">SUM(J15:J70)</f>
        <v>93.24</v>
      </c>
      <c r="K71" s="94" t="n">
        <f aca="false">SUM(K15:K70)</f>
        <v>559.44</v>
      </c>
    </row>
    <row r="72" customFormat="false" ht="15" hidden="false" customHeight="true" outlineLevel="0" collapsed="false">
      <c r="B72" s="95" t="s">
        <v>248</v>
      </c>
      <c r="C72" s="93"/>
      <c r="D72" s="93"/>
      <c r="E72" s="93"/>
      <c r="F72" s="93"/>
      <c r="G72" s="93"/>
      <c r="H72" s="93"/>
      <c r="K72" s="96" t="n">
        <f aca="false">K71*(1+Assumptions!C8/100)</f>
        <v>643.356</v>
      </c>
    </row>
  </sheetData>
  <mergeCells count="21">
    <mergeCell ref="B1:M1"/>
    <mergeCell ref="B2:M2"/>
    <mergeCell ref="B4:C4"/>
    <mergeCell ref="D4:E4"/>
    <mergeCell ref="F4:G4"/>
    <mergeCell ref="H4:I4"/>
    <mergeCell ref="B7:M7"/>
    <mergeCell ref="B8:M8"/>
    <mergeCell ref="B9:D9"/>
    <mergeCell ref="E9:K9"/>
    <mergeCell ref="B10:D10"/>
    <mergeCell ref="E10:K10"/>
    <mergeCell ref="B11:D11"/>
    <mergeCell ref="E11:K11"/>
    <mergeCell ref="B12:D12"/>
    <mergeCell ref="E12:K12"/>
    <mergeCell ref="B13:D13"/>
    <mergeCell ref="E13:K13"/>
    <mergeCell ref="B14:M14"/>
    <mergeCell ref="B63:H63"/>
    <mergeCell ref="B64:H64"/>
  </mergeCells>
  <dataValidations count="1">
    <dataValidation allowBlank="false" error="Enter L (Low), M (Medium), H (High) or VH (Very High)" errorStyle="stop" errorTitle="Invalid Complexity" operator="between" prompt="L=Low(0.7×) | M=Medium(1.0×) | H=High(1.4×) | VH=Very High(1.9×)" promptTitle="Complexity Level" showDropDown="false" showErrorMessage="true" showInputMessage="true" sqref="D15:D70" type="list">
      <formula1>"L,M,H,VH"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95C"/>
    <pageSetUpPr fitToPage="false"/>
  </sheetPr>
  <dimension ref="B1:N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0"/>
    <col collapsed="false" customWidth="true" hidden="false" outlineLevel="0" max="3" min="3" style="1" width="34"/>
    <col collapsed="false" customWidth="true" hidden="false" outlineLevel="0" max="4" min="4" style="1" width="14"/>
    <col collapsed="false" customWidth="true" hidden="false" outlineLevel="0" max="6" min="5" style="1" width="10"/>
    <col collapsed="false" customWidth="true" hidden="false" outlineLevel="0" max="8" min="7" style="1" width="11"/>
    <col collapsed="false" customWidth="true" hidden="false" outlineLevel="0" max="12" min="9" style="1" width="12"/>
    <col collapsed="false" customWidth="true" hidden="false" outlineLevel="0" max="13" min="13" style="1" width="14"/>
    <col collapsed="false" customWidth="true" hidden="false" outlineLevel="0" max="14" min="14" style="1" width="18"/>
  </cols>
  <sheetData>
    <row r="1" customFormat="false" ht="48" hidden="false" customHeight="true" outlineLevel="0" collapsed="false">
      <c r="B1" s="2" t="s">
        <v>249</v>
      </c>
      <c r="C1" s="2"/>
      <c r="D1" s="2"/>
      <c r="E1" s="2"/>
      <c r="F1" s="2"/>
      <c r="G1" s="2"/>
      <c r="H1" s="2"/>
      <c r="I1" s="2"/>
      <c r="J1" s="2"/>
      <c r="K1" s="2"/>
      <c r="L1" s="2"/>
      <c r="M1" s="2"/>
      <c r="N1" s="2"/>
    </row>
    <row r="2" customFormat="false" ht="21.75" hidden="false" customHeight="true" outlineLevel="0" collapsed="false">
      <c r="B2" s="3" t="s">
        <v>250</v>
      </c>
      <c r="C2" s="3"/>
      <c r="D2" s="3"/>
      <c r="E2" s="3"/>
      <c r="F2" s="3"/>
      <c r="G2" s="3"/>
      <c r="H2" s="3"/>
      <c r="I2" s="3"/>
      <c r="J2" s="3"/>
      <c r="K2" s="3"/>
      <c r="L2" s="3"/>
      <c r="M2" s="3"/>
      <c r="N2" s="3"/>
    </row>
    <row r="4" customFormat="false" ht="21.75" hidden="false" customHeight="true" outlineLevel="0" collapsed="false">
      <c r="B4" s="97" t="s">
        <v>251</v>
      </c>
      <c r="C4" s="97"/>
      <c r="D4" s="97"/>
      <c r="E4" s="97"/>
      <c r="F4" s="97"/>
      <c r="G4" s="97"/>
      <c r="H4" s="97"/>
      <c r="I4" s="97"/>
      <c r="J4" s="97"/>
      <c r="K4" s="97"/>
      <c r="L4" s="97"/>
      <c r="M4" s="97"/>
      <c r="N4" s="97"/>
    </row>
    <row r="6" customFormat="false" ht="43.5" hidden="false" customHeight="true" outlineLevel="0" collapsed="false">
      <c r="B6" s="98" t="s">
        <v>252</v>
      </c>
      <c r="C6" s="98" t="s">
        <v>253</v>
      </c>
      <c r="D6" s="98" t="s">
        <v>254</v>
      </c>
      <c r="E6" s="98" t="s">
        <v>255</v>
      </c>
      <c r="F6" s="98" t="s">
        <v>256</v>
      </c>
      <c r="G6" s="98" t="s">
        <v>257</v>
      </c>
      <c r="H6" s="98" t="s">
        <v>258</v>
      </c>
      <c r="I6" s="98" t="s">
        <v>141</v>
      </c>
      <c r="J6" s="98" t="s">
        <v>259</v>
      </c>
      <c r="K6" s="98" t="s">
        <v>260</v>
      </c>
      <c r="L6" s="98" t="s">
        <v>261</v>
      </c>
      <c r="M6" s="98" t="s">
        <v>262</v>
      </c>
      <c r="N6" s="98" t="s">
        <v>145</v>
      </c>
    </row>
    <row r="7" customFormat="false" ht="24" hidden="false" customHeight="true" outlineLevel="0" collapsed="false">
      <c r="B7" s="65" t="s">
        <v>263</v>
      </c>
      <c r="C7" s="65"/>
      <c r="D7" s="65"/>
      <c r="E7" s="65"/>
      <c r="F7" s="65"/>
      <c r="G7" s="65"/>
      <c r="H7" s="65"/>
      <c r="I7" s="65"/>
      <c r="J7" s="65"/>
      <c r="K7" s="65"/>
      <c r="L7" s="65"/>
      <c r="M7" s="65"/>
      <c r="N7" s="65"/>
    </row>
    <row r="8" customFormat="false" ht="18" hidden="false" customHeight="true" outlineLevel="0" collapsed="false">
      <c r="B8" s="66" t="s">
        <v>147</v>
      </c>
      <c r="C8" s="66"/>
      <c r="D8" s="66"/>
      <c r="E8" s="66"/>
      <c r="F8" s="66"/>
      <c r="G8" s="66"/>
      <c r="H8" s="66"/>
      <c r="I8" s="66"/>
      <c r="J8" s="66"/>
      <c r="K8" s="66"/>
      <c r="L8" s="66"/>
      <c r="M8" s="66"/>
      <c r="N8" s="66"/>
    </row>
    <row r="9" customFormat="false" ht="27.75" hidden="false" customHeight="true" outlineLevel="0" collapsed="false">
      <c r="B9" s="29" t="s">
        <v>148</v>
      </c>
      <c r="C9" s="29"/>
      <c r="D9" s="29"/>
      <c r="E9" s="29" t="s">
        <v>110</v>
      </c>
      <c r="F9" s="29"/>
      <c r="G9" s="29"/>
      <c r="H9" s="29"/>
      <c r="I9" s="29"/>
      <c r="J9" s="29"/>
      <c r="K9" s="29"/>
      <c r="L9" s="29"/>
      <c r="N9" s="29" t="s">
        <v>149</v>
      </c>
    </row>
    <row r="10" customFormat="false" ht="63.75" hidden="false" customHeight="true" outlineLevel="0" collapsed="false">
      <c r="B10" s="67" t="s">
        <v>264</v>
      </c>
      <c r="C10" s="67"/>
      <c r="D10" s="67"/>
      <c r="E10" s="68" t="s">
        <v>151</v>
      </c>
      <c r="F10" s="68"/>
      <c r="G10" s="68"/>
      <c r="H10" s="68"/>
      <c r="I10" s="68"/>
      <c r="J10" s="68"/>
      <c r="K10" s="68"/>
      <c r="L10" s="68"/>
      <c r="N10" s="69" t="s">
        <v>265</v>
      </c>
    </row>
    <row r="11" customFormat="false" ht="63.75" hidden="false" customHeight="true" outlineLevel="0" collapsed="false">
      <c r="B11" s="70" t="s">
        <v>153</v>
      </c>
      <c r="C11" s="70"/>
      <c r="D11" s="70"/>
      <c r="E11" s="71" t="s">
        <v>154</v>
      </c>
      <c r="F11" s="71"/>
      <c r="G11" s="71"/>
      <c r="H11" s="71"/>
      <c r="I11" s="71"/>
      <c r="J11" s="71"/>
      <c r="K11" s="71"/>
      <c r="L11" s="71"/>
      <c r="N11" s="72" t="s">
        <v>266</v>
      </c>
    </row>
    <row r="12" customFormat="false" ht="63.75" hidden="false" customHeight="true" outlineLevel="0" collapsed="false">
      <c r="B12" s="73" t="s">
        <v>267</v>
      </c>
      <c r="C12" s="73"/>
      <c r="D12" s="73"/>
      <c r="E12" s="74" t="s">
        <v>157</v>
      </c>
      <c r="F12" s="74"/>
      <c r="G12" s="74"/>
      <c r="H12" s="74"/>
      <c r="I12" s="74"/>
      <c r="J12" s="74"/>
      <c r="K12" s="74"/>
      <c r="L12" s="74"/>
      <c r="N12" s="75" t="s">
        <v>268</v>
      </c>
    </row>
    <row r="13" customFormat="false" ht="63.75" hidden="false" customHeight="true" outlineLevel="0" collapsed="false">
      <c r="B13" s="76" t="s">
        <v>269</v>
      </c>
      <c r="C13" s="76"/>
      <c r="D13" s="76"/>
      <c r="E13" s="77" t="s">
        <v>160</v>
      </c>
      <c r="F13" s="77"/>
      <c r="G13" s="77"/>
      <c r="H13" s="77"/>
      <c r="I13" s="77"/>
      <c r="J13" s="77"/>
      <c r="K13" s="77"/>
      <c r="L13" s="77"/>
      <c r="N13" s="78" t="s">
        <v>270</v>
      </c>
    </row>
    <row r="14" customFormat="false" ht="6" hidden="false" customHeight="true" outlineLevel="0" collapsed="false">
      <c r="B14" s="79"/>
      <c r="C14" s="79"/>
      <c r="D14" s="79"/>
      <c r="E14" s="79"/>
      <c r="F14" s="79"/>
      <c r="G14" s="79"/>
      <c r="H14" s="79"/>
      <c r="I14" s="79"/>
      <c r="J14" s="79"/>
      <c r="K14" s="79"/>
      <c r="L14" s="79"/>
      <c r="M14" s="79"/>
      <c r="N14" s="79"/>
    </row>
    <row r="15" customFormat="false" ht="21.75" hidden="false" customHeight="true" outlineLevel="0" collapsed="false">
      <c r="B15" s="80" t="s">
        <v>175</v>
      </c>
      <c r="C15" s="81" t="s">
        <v>271</v>
      </c>
      <c r="D15" s="99" t="s">
        <v>272</v>
      </c>
      <c r="E15" s="7" t="s">
        <v>121</v>
      </c>
      <c r="F15" s="82" t="n">
        <v>3</v>
      </c>
      <c r="G15" s="46" t="n">
        <v>5</v>
      </c>
      <c r="H15" s="83" t="n">
        <f aca="false">IF(E15="L",Assumptions!E34,IF(E15="M",Assumptions!E35,IF(E15="H",Assumptions!E36,IF(E15="VH",Assumptions!E37,1))))</f>
        <v>1.5</v>
      </c>
      <c r="I15" s="84" t="n">
        <f aca="false">F15*G15*H15</f>
        <v>22.5</v>
      </c>
      <c r="J15" s="85" t="n">
        <f aca="false">I15*Assumptions!C13/100</f>
        <v>6.75</v>
      </c>
      <c r="K15" s="100" t="n">
        <f aca="false">I15*Assumptions!C15/100</f>
        <v>2.25</v>
      </c>
      <c r="L15" s="86" t="n">
        <f aca="false">I15+J15+K15</f>
        <v>31.5</v>
      </c>
      <c r="M15" s="33" t="s">
        <v>164</v>
      </c>
      <c r="N15" s="88" t="s">
        <v>179</v>
      </c>
    </row>
    <row r="16" customFormat="false" ht="21.75" hidden="false" customHeight="true" outlineLevel="0" collapsed="false">
      <c r="B16" s="41"/>
      <c r="C16" s="89" t="s">
        <v>273</v>
      </c>
      <c r="D16" s="43" t="s">
        <v>274</v>
      </c>
      <c r="E16" s="7" t="s">
        <v>117</v>
      </c>
      <c r="F16" s="82" t="n">
        <v>2</v>
      </c>
      <c r="G16" s="46" t="n">
        <v>6</v>
      </c>
      <c r="H16" s="83" t="n">
        <f aca="false">IF(E16="L",Assumptions!E34,IF(E16="M",Assumptions!E35,IF(E16="H",Assumptions!E36,IF(E16="VH",Assumptions!E37,1))))</f>
        <v>1</v>
      </c>
      <c r="I16" s="84" t="n">
        <f aca="false">F16*G16*H16</f>
        <v>12</v>
      </c>
      <c r="J16" s="85" t="n">
        <f aca="false">I16*Assumptions!C13/100</f>
        <v>3.6</v>
      </c>
      <c r="K16" s="100" t="n">
        <f aca="false">I16*Assumptions!C15/100</f>
        <v>1.2</v>
      </c>
      <c r="L16" s="86" t="n">
        <f aca="false">I16+J16+K16</f>
        <v>16.8</v>
      </c>
      <c r="M16" s="36" t="s">
        <v>164</v>
      </c>
      <c r="N16" s="91" t="s">
        <v>179</v>
      </c>
    </row>
    <row r="17" customFormat="false" ht="21.75" hidden="false" customHeight="true" outlineLevel="0" collapsed="false">
      <c r="B17" s="80" t="s">
        <v>162</v>
      </c>
      <c r="C17" s="81" t="s">
        <v>275</v>
      </c>
      <c r="D17" s="99" t="s">
        <v>276</v>
      </c>
      <c r="E17" s="7" t="s">
        <v>117</v>
      </c>
      <c r="F17" s="82" t="n">
        <v>2</v>
      </c>
      <c r="G17" s="46" t="n">
        <v>4</v>
      </c>
      <c r="H17" s="83" t="n">
        <f aca="false">IF(E17="L",Assumptions!E34,IF(E17="M",Assumptions!E35,IF(E17="H",Assumptions!E36,IF(E17="VH",Assumptions!E37,1))))</f>
        <v>1</v>
      </c>
      <c r="I17" s="84" t="n">
        <f aca="false">F17*G17*H17</f>
        <v>8</v>
      </c>
      <c r="J17" s="85" t="n">
        <f aca="false">I17*Assumptions!C13/100</f>
        <v>2.4</v>
      </c>
      <c r="K17" s="100" t="n">
        <f aca="false">I17*Assumptions!C15/100</f>
        <v>0.8</v>
      </c>
      <c r="L17" s="86" t="n">
        <f aca="false">I17+J17+K17</f>
        <v>11.2</v>
      </c>
      <c r="M17" s="33" t="s">
        <v>164</v>
      </c>
      <c r="N17" s="88" t="s">
        <v>179</v>
      </c>
    </row>
    <row r="18" customFormat="false" ht="21.75" hidden="false" customHeight="true" outlineLevel="0" collapsed="false">
      <c r="B18" s="41" t="s">
        <v>183</v>
      </c>
      <c r="C18" s="89" t="s">
        <v>277</v>
      </c>
      <c r="D18" s="43" t="s">
        <v>274</v>
      </c>
      <c r="E18" s="7" t="s">
        <v>113</v>
      </c>
      <c r="F18" s="82" t="n">
        <v>2</v>
      </c>
      <c r="G18" s="46" t="n">
        <v>4</v>
      </c>
      <c r="H18" s="83" t="n">
        <f aca="false">IF(E18="L",Assumptions!E34,IF(E18="M",Assumptions!E35,IF(E18="H",Assumptions!E36,IF(E18="VH",Assumptions!E37,1))))</f>
        <v>0.7</v>
      </c>
      <c r="I18" s="84" t="n">
        <f aca="false">F18*G18*H18</f>
        <v>5.6</v>
      </c>
      <c r="J18" s="85" t="n">
        <f aca="false">I18*Assumptions!C13/100</f>
        <v>1.68</v>
      </c>
      <c r="K18" s="100" t="n">
        <f aca="false">I18*Assumptions!C15/100</f>
        <v>0.56</v>
      </c>
      <c r="L18" s="86" t="n">
        <f aca="false">I18+J18+K18</f>
        <v>7.84</v>
      </c>
      <c r="M18" s="36" t="s">
        <v>164</v>
      </c>
      <c r="N18" s="91" t="s">
        <v>179</v>
      </c>
    </row>
    <row r="19" customFormat="false" ht="21.75" hidden="false" customHeight="true" outlineLevel="0" collapsed="false">
      <c r="B19" s="80" t="s">
        <v>190</v>
      </c>
      <c r="C19" s="81" t="s">
        <v>278</v>
      </c>
      <c r="D19" s="99" t="s">
        <v>279</v>
      </c>
      <c r="E19" s="7" t="s">
        <v>121</v>
      </c>
      <c r="F19" s="82" t="n">
        <v>2</v>
      </c>
      <c r="G19" s="46" t="n">
        <v>5</v>
      </c>
      <c r="H19" s="83" t="n">
        <f aca="false">IF(E19="L",Assumptions!E34,IF(E19="M",Assumptions!E35,IF(E19="H",Assumptions!E36,IF(E19="VH",Assumptions!E37,1))))</f>
        <v>1.5</v>
      </c>
      <c r="I19" s="84" t="n">
        <f aca="false">F19*G19*H19</f>
        <v>15</v>
      </c>
      <c r="J19" s="85" t="n">
        <f aca="false">I19*Assumptions!C13/100</f>
        <v>4.5</v>
      </c>
      <c r="K19" s="100" t="n">
        <f aca="false">I19*Assumptions!C15/100</f>
        <v>1.5</v>
      </c>
      <c r="L19" s="86" t="n">
        <f aca="false">I19+J19+K19</f>
        <v>21</v>
      </c>
      <c r="M19" s="33" t="s">
        <v>173</v>
      </c>
      <c r="N19" s="88" t="s">
        <v>179</v>
      </c>
    </row>
    <row r="20" customFormat="false" ht="21.75" hidden="false" customHeight="true" outlineLevel="0" collapsed="false">
      <c r="B20" s="41" t="s">
        <v>195</v>
      </c>
      <c r="C20" s="89" t="s">
        <v>280</v>
      </c>
      <c r="D20" s="43" t="s">
        <v>281</v>
      </c>
      <c r="E20" s="7" t="s">
        <v>121</v>
      </c>
      <c r="F20" s="82" t="n">
        <v>1</v>
      </c>
      <c r="G20" s="46" t="n">
        <v>8</v>
      </c>
      <c r="H20" s="83" t="n">
        <f aca="false">IF(E20="L",Assumptions!E34,IF(E20="M",Assumptions!E35,IF(E20="H",Assumptions!E36,IF(E20="VH",Assumptions!E37,1))))</f>
        <v>1.5</v>
      </c>
      <c r="I20" s="84" t="n">
        <f aca="false">F20*G20*H20</f>
        <v>12</v>
      </c>
      <c r="J20" s="85" t="n">
        <f aca="false">I20*Assumptions!C13/100</f>
        <v>3.6</v>
      </c>
      <c r="K20" s="100" t="n">
        <f aca="false">I20*Assumptions!C15/100</f>
        <v>1.2</v>
      </c>
      <c r="L20" s="86" t="n">
        <f aca="false">I20+J20+K20</f>
        <v>16.8</v>
      </c>
      <c r="M20" s="36" t="s">
        <v>182</v>
      </c>
      <c r="N20" s="91" t="s">
        <v>210</v>
      </c>
    </row>
    <row r="21" customFormat="false" ht="21.75" hidden="false" customHeight="true" outlineLevel="0" collapsed="false">
      <c r="B21" s="80"/>
      <c r="C21" s="81" t="s">
        <v>282</v>
      </c>
      <c r="D21" s="99" t="s">
        <v>274</v>
      </c>
      <c r="E21" s="7" t="s">
        <v>121</v>
      </c>
      <c r="F21" s="82" t="n">
        <v>2</v>
      </c>
      <c r="G21" s="46" t="n">
        <v>8</v>
      </c>
      <c r="H21" s="83" t="n">
        <f aca="false">IF(E21="L",Assumptions!E34,IF(E21="M",Assumptions!E35,IF(E21="H",Assumptions!E36,IF(E21="VH",Assumptions!E37,1))))</f>
        <v>1.5</v>
      </c>
      <c r="I21" s="84" t="n">
        <f aca="false">F21*G21*H21</f>
        <v>24</v>
      </c>
      <c r="J21" s="85" t="n">
        <f aca="false">I21*Assumptions!C13/100</f>
        <v>7.2</v>
      </c>
      <c r="K21" s="100" t="n">
        <f aca="false">I21*Assumptions!C15/100</f>
        <v>2.4</v>
      </c>
      <c r="L21" s="86" t="n">
        <f aca="false">I21+J21+K21</f>
        <v>33.6</v>
      </c>
      <c r="M21" s="33" t="s">
        <v>173</v>
      </c>
      <c r="N21" s="88" t="s">
        <v>210</v>
      </c>
    </row>
    <row r="22" customFormat="false" ht="21.75" hidden="false" customHeight="true" outlineLevel="0" collapsed="false">
      <c r="B22" s="41" t="s">
        <v>199</v>
      </c>
      <c r="C22" s="89" t="s">
        <v>283</v>
      </c>
      <c r="D22" s="43" t="s">
        <v>279</v>
      </c>
      <c r="E22" s="7" t="s">
        <v>117</v>
      </c>
      <c r="F22" s="82" t="n">
        <v>1</v>
      </c>
      <c r="G22" s="46" t="n">
        <v>5</v>
      </c>
      <c r="H22" s="83" t="n">
        <f aca="false">IF(E22="L",Assumptions!E34,IF(E22="M",Assumptions!E35,IF(E22="H",Assumptions!E36,IF(E22="VH",Assumptions!E37,1))))</f>
        <v>1</v>
      </c>
      <c r="I22" s="84" t="n">
        <f aca="false">F22*G22*H22</f>
        <v>5</v>
      </c>
      <c r="J22" s="85" t="n">
        <f aca="false">I22*Assumptions!C13/100</f>
        <v>1.5</v>
      </c>
      <c r="K22" s="100" t="n">
        <f aca="false">I22*Assumptions!C15/100</f>
        <v>0.5</v>
      </c>
      <c r="L22" s="86" t="n">
        <f aca="false">I22+J22+K22</f>
        <v>7</v>
      </c>
      <c r="M22" s="36" t="s">
        <v>164</v>
      </c>
      <c r="N22" s="91" t="s">
        <v>179</v>
      </c>
    </row>
    <row r="23" customFormat="false" ht="21.75" hidden="false" customHeight="true" outlineLevel="0" collapsed="false">
      <c r="B23" s="80" t="s">
        <v>203</v>
      </c>
      <c r="C23" s="81" t="s">
        <v>284</v>
      </c>
      <c r="D23" s="99" t="s">
        <v>285</v>
      </c>
      <c r="E23" s="7" t="s">
        <v>117</v>
      </c>
      <c r="F23" s="82" t="n">
        <v>1</v>
      </c>
      <c r="G23" s="46" t="n">
        <v>6</v>
      </c>
      <c r="H23" s="83" t="n">
        <f aca="false">IF(E23="L",Assumptions!E34,IF(E23="M",Assumptions!E35,IF(E23="H",Assumptions!E36,IF(E23="VH",Assumptions!E37,1))))</f>
        <v>1</v>
      </c>
      <c r="I23" s="84" t="n">
        <f aca="false">F23*G23*H23</f>
        <v>6</v>
      </c>
      <c r="J23" s="85" t="n">
        <f aca="false">I23*Assumptions!C13/100</f>
        <v>1.8</v>
      </c>
      <c r="K23" s="100" t="n">
        <f aca="false">I23*Assumptions!C15/100</f>
        <v>0.6</v>
      </c>
      <c r="L23" s="86" t="n">
        <f aca="false">I23+J23+K23</f>
        <v>8.4</v>
      </c>
      <c r="M23" s="33" t="s">
        <v>164</v>
      </c>
      <c r="N23" s="88" t="s">
        <v>179</v>
      </c>
    </row>
    <row r="24" customFormat="false" ht="21.75" hidden="false" customHeight="true" outlineLevel="0" collapsed="false">
      <c r="B24" s="41" t="s">
        <v>208</v>
      </c>
      <c r="C24" s="89" t="s">
        <v>286</v>
      </c>
      <c r="D24" s="43" t="s">
        <v>279</v>
      </c>
      <c r="E24" s="7" t="s">
        <v>121</v>
      </c>
      <c r="F24" s="82" t="n">
        <v>3</v>
      </c>
      <c r="G24" s="46" t="n">
        <v>6</v>
      </c>
      <c r="H24" s="83" t="n">
        <f aca="false">IF(E24="L",Assumptions!E34,IF(E24="M",Assumptions!E35,IF(E24="H",Assumptions!E36,IF(E24="VH",Assumptions!E37,1))))</f>
        <v>1.5</v>
      </c>
      <c r="I24" s="84" t="n">
        <f aca="false">F24*G24*H24</f>
        <v>27</v>
      </c>
      <c r="J24" s="85" t="n">
        <f aca="false">I24*Assumptions!C13/100</f>
        <v>8.1</v>
      </c>
      <c r="K24" s="100" t="n">
        <f aca="false">I24*Assumptions!C15/100</f>
        <v>2.7</v>
      </c>
      <c r="L24" s="86" t="n">
        <f aca="false">I24+J24+K24</f>
        <v>37.8</v>
      </c>
      <c r="M24" s="36" t="s">
        <v>173</v>
      </c>
      <c r="N24" s="91" t="s">
        <v>210</v>
      </c>
    </row>
    <row r="25" customFormat="false" ht="21.75" hidden="false" customHeight="true" outlineLevel="0" collapsed="false">
      <c r="B25" s="80" t="s">
        <v>213</v>
      </c>
      <c r="C25" s="81" t="s">
        <v>287</v>
      </c>
      <c r="D25" s="99" t="s">
        <v>288</v>
      </c>
      <c r="E25" s="7" t="s">
        <v>117</v>
      </c>
      <c r="F25" s="82" t="n">
        <v>1</v>
      </c>
      <c r="G25" s="46" t="n">
        <v>6</v>
      </c>
      <c r="H25" s="83" t="n">
        <f aca="false">IF(E25="L",Assumptions!E34,IF(E25="M",Assumptions!E35,IF(E25="H",Assumptions!E36,IF(E25="VH",Assumptions!E37,1))))</f>
        <v>1</v>
      </c>
      <c r="I25" s="84" t="n">
        <f aca="false">F25*G25*H25</f>
        <v>6</v>
      </c>
      <c r="J25" s="85" t="n">
        <f aca="false">I25*Assumptions!C13/100</f>
        <v>1.8</v>
      </c>
      <c r="K25" s="100" t="n">
        <f aca="false">I25*Assumptions!C15/100</f>
        <v>0.6</v>
      </c>
      <c r="L25" s="86" t="n">
        <f aca="false">I25+J25+K25</f>
        <v>8.4</v>
      </c>
      <c r="M25" s="33" t="s">
        <v>164</v>
      </c>
      <c r="N25" s="88" t="s">
        <v>179</v>
      </c>
    </row>
    <row r="26" customFormat="false" ht="21.75" hidden="false" customHeight="true" outlineLevel="0" collapsed="false">
      <c r="B26" s="41"/>
      <c r="C26" s="89" t="s">
        <v>289</v>
      </c>
      <c r="D26" s="43" t="s">
        <v>276</v>
      </c>
      <c r="E26" s="7" t="s">
        <v>117</v>
      </c>
      <c r="F26" s="82" t="n">
        <v>1</v>
      </c>
      <c r="G26" s="46" t="n">
        <v>5</v>
      </c>
      <c r="H26" s="83" t="n">
        <f aca="false">IF(E26="L",Assumptions!E34,IF(E26="M",Assumptions!E35,IF(E26="H",Assumptions!E36,IF(E26="VH",Assumptions!E37,1))))</f>
        <v>1</v>
      </c>
      <c r="I26" s="84" t="n">
        <f aca="false">F26*G26*H26</f>
        <v>5</v>
      </c>
      <c r="J26" s="85" t="n">
        <f aca="false">I26*Assumptions!C13/100</f>
        <v>1.5</v>
      </c>
      <c r="K26" s="100" t="n">
        <f aca="false">I26*Assumptions!C15/100</f>
        <v>0.5</v>
      </c>
      <c r="L26" s="86" t="n">
        <f aca="false">I26+J26+K26</f>
        <v>7</v>
      </c>
      <c r="M26" s="36" t="s">
        <v>164</v>
      </c>
      <c r="N26" s="91" t="s">
        <v>179</v>
      </c>
    </row>
    <row r="27" customFormat="false" ht="21.75" hidden="false" customHeight="true" outlineLevel="0" collapsed="false">
      <c r="B27" s="80" t="s">
        <v>221</v>
      </c>
      <c r="C27" s="81" t="s">
        <v>290</v>
      </c>
      <c r="D27" s="99" t="s">
        <v>279</v>
      </c>
      <c r="E27" s="7" t="s">
        <v>121</v>
      </c>
      <c r="F27" s="82" t="n">
        <v>1</v>
      </c>
      <c r="G27" s="46" t="n">
        <v>10</v>
      </c>
      <c r="H27" s="83" t="n">
        <f aca="false">IF(E27="L",Assumptions!E34,IF(E27="M",Assumptions!E35,IF(E27="H",Assumptions!E36,IF(E27="VH",Assumptions!E37,1))))</f>
        <v>1.5</v>
      </c>
      <c r="I27" s="84" t="n">
        <f aca="false">F27*G27*H27</f>
        <v>15</v>
      </c>
      <c r="J27" s="85" t="n">
        <f aca="false">I27*Assumptions!C13/100</f>
        <v>4.5</v>
      </c>
      <c r="K27" s="100" t="n">
        <f aca="false">I27*Assumptions!C15/100</f>
        <v>1.5</v>
      </c>
      <c r="L27" s="86" t="n">
        <f aca="false">I27+J27+K27</f>
        <v>21</v>
      </c>
      <c r="M27" s="33" t="s">
        <v>182</v>
      </c>
      <c r="N27" s="88" t="s">
        <v>210</v>
      </c>
    </row>
    <row r="28" customFormat="false" ht="21.75" hidden="false" customHeight="true" outlineLevel="0" collapsed="false">
      <c r="B28" s="41"/>
      <c r="C28" s="89" t="s">
        <v>291</v>
      </c>
      <c r="D28" s="43" t="s">
        <v>292</v>
      </c>
      <c r="E28" s="7" t="s">
        <v>121</v>
      </c>
      <c r="F28" s="82" t="n">
        <v>2</v>
      </c>
      <c r="G28" s="46" t="n">
        <v>10</v>
      </c>
      <c r="H28" s="83" t="n">
        <f aca="false">IF(E28="L",Assumptions!E34,IF(E28="M",Assumptions!E35,IF(E28="H",Assumptions!E36,IF(E28="VH",Assumptions!E37,1))))</f>
        <v>1.5</v>
      </c>
      <c r="I28" s="84" t="n">
        <f aca="false">F28*G28*H28</f>
        <v>30</v>
      </c>
      <c r="J28" s="85" t="n">
        <f aca="false">I28*Assumptions!C13/100</f>
        <v>9</v>
      </c>
      <c r="K28" s="100" t="n">
        <f aca="false">I28*Assumptions!C15/100</f>
        <v>3</v>
      </c>
      <c r="L28" s="86" t="n">
        <f aca="false">I28+J28+K28</f>
        <v>42</v>
      </c>
      <c r="M28" s="36" t="s">
        <v>173</v>
      </c>
      <c r="N28" s="91" t="s">
        <v>210</v>
      </c>
    </row>
    <row r="29" customFormat="false" ht="21.75" hidden="false" customHeight="true" outlineLevel="0" collapsed="false">
      <c r="B29" s="80" t="s">
        <v>224</v>
      </c>
      <c r="C29" s="81" t="s">
        <v>293</v>
      </c>
      <c r="D29" s="99" t="s">
        <v>285</v>
      </c>
      <c r="E29" s="7" t="s">
        <v>117</v>
      </c>
      <c r="F29" s="82" t="n">
        <v>2</v>
      </c>
      <c r="G29" s="46" t="n">
        <v>5</v>
      </c>
      <c r="H29" s="83" t="n">
        <f aca="false">IF(E29="L",Assumptions!E34,IF(E29="M",Assumptions!E35,IF(E29="H",Assumptions!E36,IF(E29="VH",Assumptions!E37,1))))</f>
        <v>1</v>
      </c>
      <c r="I29" s="84" t="n">
        <f aca="false">F29*G29*H29</f>
        <v>10</v>
      </c>
      <c r="J29" s="85" t="n">
        <f aca="false">I29*Assumptions!C13/100</f>
        <v>3</v>
      </c>
      <c r="K29" s="100" t="n">
        <f aca="false">I29*Assumptions!C15/100</f>
        <v>1</v>
      </c>
      <c r="L29" s="86" t="n">
        <f aca="false">I29+J29+K29</f>
        <v>14</v>
      </c>
      <c r="M29" s="33" t="s">
        <v>164</v>
      </c>
      <c r="N29" s="88" t="s">
        <v>179</v>
      </c>
    </row>
    <row r="30" customFormat="false" ht="21.75" hidden="false" customHeight="true" outlineLevel="0" collapsed="false">
      <c r="B30" s="41" t="s">
        <v>227</v>
      </c>
      <c r="C30" s="89" t="s">
        <v>294</v>
      </c>
      <c r="D30" s="43" t="s">
        <v>274</v>
      </c>
      <c r="E30" s="7" t="s">
        <v>113</v>
      </c>
      <c r="F30" s="82" t="n">
        <v>2</v>
      </c>
      <c r="G30" s="46" t="n">
        <v>3</v>
      </c>
      <c r="H30" s="83" t="n">
        <f aca="false">IF(E30="L",Assumptions!E34,IF(E30="M",Assumptions!E35,IF(E30="H",Assumptions!E36,IF(E30="VH",Assumptions!E37,1))))</f>
        <v>0.7</v>
      </c>
      <c r="I30" s="84" t="n">
        <f aca="false">F30*G30*H30</f>
        <v>4.2</v>
      </c>
      <c r="J30" s="85" t="n">
        <f aca="false">I30*Assumptions!C13/100</f>
        <v>1.26</v>
      </c>
      <c r="K30" s="100" t="n">
        <f aca="false">I30*Assumptions!C15/100</f>
        <v>0.42</v>
      </c>
      <c r="L30" s="86" t="n">
        <f aca="false">I30+J30+K30</f>
        <v>5.88</v>
      </c>
      <c r="M30" s="36" t="s">
        <v>164</v>
      </c>
      <c r="N30" s="91" t="s">
        <v>179</v>
      </c>
    </row>
    <row r="31" customFormat="false" ht="21.75" hidden="false" customHeight="true" outlineLevel="0" collapsed="false">
      <c r="B31" s="80" t="s">
        <v>295</v>
      </c>
      <c r="C31" s="81" t="s">
        <v>296</v>
      </c>
      <c r="D31" s="99" t="s">
        <v>297</v>
      </c>
      <c r="E31" s="7" t="s">
        <v>121</v>
      </c>
      <c r="F31" s="82" t="n">
        <v>1</v>
      </c>
      <c r="G31" s="46" t="n">
        <v>14</v>
      </c>
      <c r="H31" s="83" t="n">
        <f aca="false">IF(E31="L",Assumptions!E34,IF(E31="M",Assumptions!E35,IF(E31="H",Assumptions!E36,IF(E31="VH",Assumptions!E37,1))))</f>
        <v>1.5</v>
      </c>
      <c r="I31" s="84" t="n">
        <f aca="false">F31*G31*H31</f>
        <v>21</v>
      </c>
      <c r="J31" s="85" t="n">
        <f aca="false">I31*Assumptions!C13/100</f>
        <v>6.3</v>
      </c>
      <c r="K31" s="100" t="n">
        <f aca="false">I31*Assumptions!C15/100</f>
        <v>2.1</v>
      </c>
      <c r="L31" s="86" t="n">
        <f aca="false">I31+J31+K31</f>
        <v>29.4</v>
      </c>
      <c r="M31" s="33" t="s">
        <v>164</v>
      </c>
      <c r="N31" s="88" t="s">
        <v>210</v>
      </c>
    </row>
    <row r="32" customFormat="false" ht="21.75" hidden="false" customHeight="true" outlineLevel="0" collapsed="false">
      <c r="B32" s="41"/>
      <c r="C32" s="89" t="s">
        <v>298</v>
      </c>
      <c r="D32" s="43" t="s">
        <v>297</v>
      </c>
      <c r="E32" s="7" t="s">
        <v>121</v>
      </c>
      <c r="F32" s="82" t="n">
        <v>1</v>
      </c>
      <c r="G32" s="46" t="n">
        <v>14</v>
      </c>
      <c r="H32" s="83" t="n">
        <f aca="false">IF(E32="L",Assumptions!E34,IF(E32="M",Assumptions!E35,IF(E32="H",Assumptions!E36,IF(E32="VH",Assumptions!E37,1))))</f>
        <v>1.5</v>
      </c>
      <c r="I32" s="84" t="n">
        <f aca="false">F32*G32*H32</f>
        <v>21</v>
      </c>
      <c r="J32" s="85" t="n">
        <f aca="false">I32*Assumptions!C13/100</f>
        <v>6.3</v>
      </c>
      <c r="K32" s="100" t="n">
        <f aca="false">I32*Assumptions!C15/100</f>
        <v>2.1</v>
      </c>
      <c r="L32" s="86" t="n">
        <f aca="false">I32+J32+K32</f>
        <v>29.4</v>
      </c>
      <c r="M32" s="36" t="s">
        <v>173</v>
      </c>
      <c r="N32" s="91" t="s">
        <v>210</v>
      </c>
    </row>
    <row r="33" customFormat="false" ht="21.75" hidden="false" customHeight="true" outlineLevel="0" collapsed="false">
      <c r="B33" s="80"/>
      <c r="C33" s="81" t="s">
        <v>299</v>
      </c>
      <c r="D33" s="99" t="s">
        <v>297</v>
      </c>
      <c r="E33" s="7" t="s">
        <v>121</v>
      </c>
      <c r="F33" s="82" t="n">
        <v>2</v>
      </c>
      <c r="G33" s="46" t="n">
        <v>14</v>
      </c>
      <c r="H33" s="83" t="n">
        <f aca="false">IF(E33="L",Assumptions!E34,IF(E33="M",Assumptions!E35,IF(E33="H",Assumptions!E36,IF(E33="VH",Assumptions!E37,1))))</f>
        <v>1.5</v>
      </c>
      <c r="I33" s="84" t="n">
        <f aca="false">F33*G33*H33</f>
        <v>42</v>
      </c>
      <c r="J33" s="85" t="n">
        <f aca="false">I33*Assumptions!C13/100</f>
        <v>12.6</v>
      </c>
      <c r="K33" s="100" t="n">
        <f aca="false">I33*Assumptions!C15/100</f>
        <v>4.2</v>
      </c>
      <c r="L33" s="86" t="n">
        <f aca="false">I33+J33+K33</f>
        <v>58.8</v>
      </c>
      <c r="M33" s="33" t="s">
        <v>173</v>
      </c>
      <c r="N33" s="88" t="s">
        <v>210</v>
      </c>
    </row>
    <row r="34" customFormat="false" ht="21.75" hidden="false" customHeight="true" outlineLevel="0" collapsed="false">
      <c r="B34" s="41"/>
      <c r="C34" s="89" t="s">
        <v>300</v>
      </c>
      <c r="D34" s="43" t="s">
        <v>301</v>
      </c>
      <c r="E34" s="7" t="s">
        <v>117</v>
      </c>
      <c r="F34" s="82" t="n">
        <v>3</v>
      </c>
      <c r="G34" s="46" t="n">
        <v>6</v>
      </c>
      <c r="H34" s="83" t="n">
        <f aca="false">IF(E34="L",Assumptions!E34,IF(E34="M",Assumptions!E35,IF(E34="H",Assumptions!E36,IF(E34="VH",Assumptions!E37,1))))</f>
        <v>1</v>
      </c>
      <c r="I34" s="84" t="n">
        <f aca="false">F34*G34*H34</f>
        <v>18</v>
      </c>
      <c r="J34" s="85" t="n">
        <f aca="false">I34*Assumptions!C13/100</f>
        <v>5.4</v>
      </c>
      <c r="K34" s="100" t="n">
        <f aca="false">I34*Assumptions!C15/100</f>
        <v>1.8</v>
      </c>
      <c r="L34" s="86" t="n">
        <f aca="false">I34+J34+K34</f>
        <v>25.2</v>
      </c>
      <c r="M34" s="36" t="s">
        <v>164</v>
      </c>
      <c r="N34" s="91" t="s">
        <v>210</v>
      </c>
    </row>
    <row r="35" customFormat="false" ht="21.75" hidden="false" customHeight="true" outlineLevel="0" collapsed="false">
      <c r="B35" s="80"/>
      <c r="C35" s="81" t="s">
        <v>302</v>
      </c>
      <c r="D35" s="99" t="s">
        <v>301</v>
      </c>
      <c r="E35" s="7" t="s">
        <v>117</v>
      </c>
      <c r="F35" s="82" t="n">
        <v>1</v>
      </c>
      <c r="G35" s="46" t="n">
        <v>8</v>
      </c>
      <c r="H35" s="83" t="n">
        <f aca="false">IF(E35="L",Assumptions!E34,IF(E35="M",Assumptions!E35,IF(E35="H",Assumptions!E36,IF(E35="VH",Assumptions!E37,1))))</f>
        <v>1</v>
      </c>
      <c r="I35" s="84" t="n">
        <f aca="false">F35*G35*H35</f>
        <v>8</v>
      </c>
      <c r="J35" s="85" t="n">
        <f aca="false">I35*Assumptions!C13/100</f>
        <v>2.4</v>
      </c>
      <c r="K35" s="100" t="n">
        <f aca="false">I35*Assumptions!C15/100</f>
        <v>0.8</v>
      </c>
      <c r="L35" s="86" t="n">
        <f aca="false">I35+J35+K35</f>
        <v>11.2</v>
      </c>
      <c r="M35" s="33" t="s">
        <v>164</v>
      </c>
      <c r="N35" s="88" t="s">
        <v>210</v>
      </c>
    </row>
    <row r="36" customFormat="false" ht="21.75" hidden="false" customHeight="true" outlineLevel="0" collapsed="false">
      <c r="B36" s="41"/>
      <c r="C36" s="89" t="s">
        <v>303</v>
      </c>
      <c r="D36" s="43" t="s">
        <v>301</v>
      </c>
      <c r="E36" s="7" t="s">
        <v>113</v>
      </c>
      <c r="F36" s="82" t="n">
        <v>5</v>
      </c>
      <c r="G36" s="46" t="n">
        <v>4</v>
      </c>
      <c r="H36" s="83" t="n">
        <f aca="false">IF(E36="L",Assumptions!E34,IF(E36="M",Assumptions!E35,IF(E36="H",Assumptions!E36,IF(E36="VH",Assumptions!E37,1))))</f>
        <v>0.7</v>
      </c>
      <c r="I36" s="84" t="n">
        <f aca="false">F36*G36*H36</f>
        <v>14</v>
      </c>
      <c r="J36" s="85" t="n">
        <f aca="false">I36*Assumptions!C13/100</f>
        <v>4.2</v>
      </c>
      <c r="K36" s="100" t="n">
        <f aca="false">I36*Assumptions!C15/100</f>
        <v>1.4</v>
      </c>
      <c r="L36" s="86" t="n">
        <f aca="false">I36+J36+K36</f>
        <v>19.6</v>
      </c>
      <c r="M36" s="36" t="s">
        <v>164</v>
      </c>
      <c r="N36" s="91" t="s">
        <v>179</v>
      </c>
    </row>
    <row r="37" customFormat="false" ht="21.75" hidden="false" customHeight="true" outlineLevel="0" collapsed="false">
      <c r="B37" s="80"/>
      <c r="C37" s="81" t="s">
        <v>304</v>
      </c>
      <c r="D37" s="99" t="s">
        <v>297</v>
      </c>
      <c r="E37" s="7" t="s">
        <v>121</v>
      </c>
      <c r="F37" s="82" t="n">
        <v>1</v>
      </c>
      <c r="G37" s="46" t="n">
        <v>16</v>
      </c>
      <c r="H37" s="83" t="n">
        <f aca="false">IF(E37="L",Assumptions!E34,IF(E37="M",Assumptions!E35,IF(E37="H",Assumptions!E36,IF(E37="VH",Assumptions!E37,1))))</f>
        <v>1.5</v>
      </c>
      <c r="I37" s="84" t="n">
        <f aca="false">F37*G37*H37</f>
        <v>24</v>
      </c>
      <c r="J37" s="85" t="n">
        <f aca="false">I37*Assumptions!C13/100</f>
        <v>7.2</v>
      </c>
      <c r="K37" s="100" t="n">
        <f aca="false">I37*Assumptions!C15/100</f>
        <v>2.4</v>
      </c>
      <c r="L37" s="86" t="n">
        <f aca="false">I37+J37+K37</f>
        <v>33.6</v>
      </c>
      <c r="M37" s="33" t="s">
        <v>182</v>
      </c>
      <c r="N37" s="88" t="s">
        <v>210</v>
      </c>
    </row>
    <row r="38" customFormat="false" ht="21.75" hidden="false" customHeight="true" outlineLevel="0" collapsed="false">
      <c r="B38" s="41" t="s">
        <v>305</v>
      </c>
      <c r="C38" s="89" t="s">
        <v>306</v>
      </c>
      <c r="D38" s="43" t="s">
        <v>307</v>
      </c>
      <c r="E38" s="7" t="s">
        <v>117</v>
      </c>
      <c r="F38" s="82" t="n">
        <v>2</v>
      </c>
      <c r="G38" s="46" t="n">
        <v>3</v>
      </c>
      <c r="H38" s="83" t="n">
        <f aca="false">IF(E34="L",Assumptions!E34,IF(E34="M",Assumptions!E35,IF(E34="H",Assumptions!E36,IF(E34="VH",Assumptions!E37,1))))</f>
        <v>1</v>
      </c>
      <c r="I38" s="84" t="n">
        <f aca="false">F38*G38*H38</f>
        <v>6</v>
      </c>
      <c r="J38" s="85" t="n">
        <f aca="false">I38*Assumptions!C13/100</f>
        <v>1.8</v>
      </c>
      <c r="K38" s="100" t="n">
        <f aca="false">I38*Assumptions!C15/100</f>
        <v>0.6</v>
      </c>
      <c r="L38" s="86" t="n">
        <f aca="false">I38+J38+K38</f>
        <v>8.4</v>
      </c>
      <c r="M38" s="36" t="s">
        <v>164</v>
      </c>
      <c r="N38" s="91" t="s">
        <v>179</v>
      </c>
    </row>
    <row r="39" customFormat="false" ht="25.5" hidden="false" customHeight="true" outlineLevel="0" collapsed="false">
      <c r="B39" s="80"/>
      <c r="C39" s="80"/>
      <c r="D39" s="80"/>
      <c r="E39" s="80"/>
      <c r="F39" s="80"/>
      <c r="G39" s="80"/>
      <c r="H39" s="80"/>
      <c r="I39" s="84" t="n">
        <f aca="false">F39*G39*H39</f>
        <v>0</v>
      </c>
      <c r="J39" s="85" t="n">
        <f aca="false">I39*Assumptions!C8/100</f>
        <v>0</v>
      </c>
      <c r="K39" s="100" t="n">
        <f aca="false">I39*Assumptions!C10/100</f>
        <v>0</v>
      </c>
      <c r="L39" s="86" t="n">
        <f aca="false">I39+J39+K39</f>
        <v>0</v>
      </c>
      <c r="M39" s="33" t="s">
        <v>164</v>
      </c>
      <c r="N39" s="88" t="s">
        <v>179</v>
      </c>
    </row>
    <row r="40" customFormat="false" ht="21.75" hidden="false" customHeight="true" outlineLevel="0" collapsed="false">
      <c r="B40" s="41"/>
      <c r="C40" s="41"/>
      <c r="D40" s="41"/>
      <c r="E40" s="41"/>
      <c r="F40" s="41"/>
      <c r="G40" s="41"/>
      <c r="H40" s="41"/>
      <c r="I40" s="84" t="n">
        <f aca="false">F40*G40*H40</f>
        <v>0</v>
      </c>
      <c r="J40" s="85" t="n">
        <f aca="false">I40*Assumptions!C8/100</f>
        <v>0</v>
      </c>
      <c r="K40" s="100" t="n">
        <f aca="false">I40*Assumptions!C10/100</f>
        <v>0</v>
      </c>
      <c r="L40" s="86" t="n">
        <f aca="false">I40+J40+K40</f>
        <v>0</v>
      </c>
      <c r="M40" s="36" t="s">
        <v>164</v>
      </c>
      <c r="N40" s="91" t="s">
        <v>179</v>
      </c>
    </row>
    <row r="41" customFormat="false" ht="15" hidden="false" customHeight="true" outlineLevel="0" collapsed="false">
      <c r="B41" s="80"/>
      <c r="C41" s="81" t="s">
        <v>308</v>
      </c>
      <c r="D41" s="99" t="s">
        <v>274</v>
      </c>
      <c r="E41" s="7" t="s">
        <v>117</v>
      </c>
      <c r="F41" s="82" t="n">
        <v>1</v>
      </c>
      <c r="G41" s="46" t="n">
        <v>5</v>
      </c>
      <c r="H41" s="83" t="n">
        <f aca="false">IF(E37="L",Assumptions!E34,IF(E37="M",Assumptions!E35,IF(E37="H",Assumptions!E36,IF(E37="VH",Assumptions!E37,1))))</f>
        <v>1.5</v>
      </c>
      <c r="I41" s="84" t="n">
        <f aca="false">F41*G41*H41</f>
        <v>7.5</v>
      </c>
      <c r="J41" s="85" t="n">
        <f aca="false">I41*Assumptions!C13/100</f>
        <v>2.25</v>
      </c>
      <c r="K41" s="100" t="n">
        <f aca="false">I41*Assumptions!C15/100</f>
        <v>0.75</v>
      </c>
      <c r="L41" s="86" t="n">
        <f aca="false">I41+J41+K41</f>
        <v>10.5</v>
      </c>
      <c r="M41" s="33" t="s">
        <v>164</v>
      </c>
      <c r="N41" s="88" t="s">
        <v>179</v>
      </c>
    </row>
    <row r="42" customFormat="false" ht="15" hidden="false" customHeight="true" outlineLevel="0" collapsed="false">
      <c r="B42" s="41"/>
      <c r="C42" s="89" t="s">
        <v>309</v>
      </c>
      <c r="D42" s="43" t="s">
        <v>310</v>
      </c>
      <c r="E42" s="7" t="s">
        <v>121</v>
      </c>
      <c r="F42" s="82" t="n">
        <v>2</v>
      </c>
      <c r="G42" s="46" t="n">
        <v>10</v>
      </c>
      <c r="H42" s="83" t="n">
        <f aca="false">IF(E42="L",Assumptions!E34,IF(E42="M",Assumptions!E35,IF(E42="H",Assumptions!E36,IF(E42="VH",Assumptions!E37,1))))</f>
        <v>1.5</v>
      </c>
      <c r="I42" s="84" t="n">
        <f aca="false">F42*G42*H42</f>
        <v>30</v>
      </c>
      <c r="J42" s="85" t="n">
        <f aca="false">I42*Assumptions!C13/100</f>
        <v>9</v>
      </c>
      <c r="K42" s="100" t="n">
        <f aca="false">I42*Assumptions!C15/100</f>
        <v>3</v>
      </c>
      <c r="L42" s="86" t="n">
        <f aca="false">I42+J42+K42</f>
        <v>42</v>
      </c>
      <c r="M42" s="36" t="s">
        <v>182</v>
      </c>
      <c r="N42" s="91" t="s">
        <v>210</v>
      </c>
    </row>
    <row r="43" customFormat="false" ht="15" hidden="false" customHeight="true" outlineLevel="0" collapsed="false">
      <c r="B43" s="80"/>
      <c r="C43" s="81" t="s">
        <v>311</v>
      </c>
      <c r="D43" s="99" t="s">
        <v>310</v>
      </c>
      <c r="E43" s="7" t="s">
        <v>121</v>
      </c>
      <c r="F43" s="82" t="n">
        <v>1</v>
      </c>
      <c r="G43" s="46" t="n">
        <v>10</v>
      </c>
      <c r="H43" s="83" t="n">
        <f aca="false">IF(E43="L",Assumptions!E34,IF(E43="M",Assumptions!E35,IF(E43="H",Assumptions!E36,IF(E43="VH",Assumptions!E37,1))))</f>
        <v>1.5</v>
      </c>
      <c r="I43" s="84" t="n">
        <f aca="false">F43*G43*H43</f>
        <v>15</v>
      </c>
      <c r="J43" s="85" t="n">
        <f aca="false">I43*Assumptions!C13/100</f>
        <v>4.5</v>
      </c>
      <c r="K43" s="100" t="n">
        <f aca="false">I43*Assumptions!C15/100</f>
        <v>1.5</v>
      </c>
      <c r="L43" s="86" t="n">
        <f aca="false">I43+J43+K43</f>
        <v>21</v>
      </c>
      <c r="M43" s="33" t="s">
        <v>182</v>
      </c>
      <c r="N43" s="88" t="s">
        <v>210</v>
      </c>
    </row>
    <row r="44" customFormat="false" ht="15" hidden="false" customHeight="true" outlineLevel="0" collapsed="false">
      <c r="B44" s="41"/>
      <c r="C44" s="89" t="s">
        <v>312</v>
      </c>
      <c r="D44" s="43" t="s">
        <v>274</v>
      </c>
      <c r="E44" s="7" t="s">
        <v>117</v>
      </c>
      <c r="F44" s="82" t="n">
        <v>1</v>
      </c>
      <c r="G44" s="46" t="n">
        <v>5</v>
      </c>
      <c r="H44" s="83" t="n">
        <f aca="false">IF(E44="L",Assumptions!E34,IF(E44="M",Assumptions!E35,IF(E44="H",Assumptions!E36,IF(E44="VH",Assumptions!E37,1))))</f>
        <v>1</v>
      </c>
      <c r="I44" s="84" t="n">
        <f aca="false">F44*G44*H44</f>
        <v>5</v>
      </c>
      <c r="J44" s="85" t="n">
        <f aca="false">I44*Assumptions!C13/100</f>
        <v>1.5</v>
      </c>
      <c r="K44" s="100" t="n">
        <f aca="false">I44*Assumptions!C15/100</f>
        <v>0.5</v>
      </c>
      <c r="L44" s="86" t="n">
        <f aca="false">I44+J44+K44</f>
        <v>7</v>
      </c>
      <c r="M44" s="36" t="s">
        <v>164</v>
      </c>
      <c r="N44" s="91" t="s">
        <v>179</v>
      </c>
    </row>
    <row r="45" customFormat="false" ht="15" hidden="false" customHeight="true" outlineLevel="0" collapsed="false">
      <c r="B45" s="80" t="s">
        <v>313</v>
      </c>
      <c r="C45" s="81" t="s">
        <v>314</v>
      </c>
      <c r="D45" s="99" t="s">
        <v>315</v>
      </c>
      <c r="E45" s="7" t="s">
        <v>117</v>
      </c>
      <c r="F45" s="82" t="n">
        <v>2</v>
      </c>
      <c r="G45" s="46" t="n">
        <v>5</v>
      </c>
      <c r="H45" s="83" t="n">
        <f aca="false">IF(E45="L",Assumptions!E34,IF(E45="M",Assumptions!E35,IF(E45="H",Assumptions!E36,IF(E45="VH",Assumptions!E37,1))))</f>
        <v>1</v>
      </c>
      <c r="I45" s="84" t="n">
        <f aca="false">F45*G45*H45</f>
        <v>10</v>
      </c>
      <c r="J45" s="85" t="n">
        <f aca="false">I45*Assumptions!C13/100</f>
        <v>3</v>
      </c>
      <c r="K45" s="100" t="n">
        <f aca="false">I45*Assumptions!C15/100</f>
        <v>1</v>
      </c>
      <c r="L45" s="86" t="n">
        <f aca="false">I45+J45+K45</f>
        <v>14</v>
      </c>
      <c r="M45" s="33" t="s">
        <v>182</v>
      </c>
      <c r="N45" s="88" t="s">
        <v>179</v>
      </c>
    </row>
    <row r="46" customFormat="false" ht="15" hidden="false" customHeight="true" outlineLevel="0" collapsed="false">
      <c r="B46" s="41"/>
      <c r="C46" s="89" t="s">
        <v>316</v>
      </c>
      <c r="D46" s="43" t="s">
        <v>317</v>
      </c>
      <c r="E46" s="7" t="s">
        <v>121</v>
      </c>
      <c r="F46" s="82" t="n">
        <v>3</v>
      </c>
      <c r="G46" s="46" t="n">
        <v>8</v>
      </c>
      <c r="H46" s="83" t="n">
        <f aca="false">IF(E46="L",Assumptions!E34,IF(E46="M",Assumptions!E35,IF(E46="H",Assumptions!E36,IF(E46="VH",Assumptions!E37,1))))</f>
        <v>1.5</v>
      </c>
      <c r="I46" s="84" t="n">
        <f aca="false">F46*G46*H46</f>
        <v>36</v>
      </c>
      <c r="J46" s="85" t="n">
        <f aca="false">I46*Assumptions!C13/100</f>
        <v>10.8</v>
      </c>
      <c r="K46" s="100" t="n">
        <f aca="false">I46*Assumptions!C15/100</f>
        <v>3.6</v>
      </c>
      <c r="L46" s="86" t="n">
        <f aca="false">I46+J46+K46</f>
        <v>50.4</v>
      </c>
      <c r="M46" s="36" t="s">
        <v>182</v>
      </c>
      <c r="N46" s="91" t="s">
        <v>210</v>
      </c>
    </row>
    <row r="47" customFormat="false" ht="15" hidden="false" customHeight="true" outlineLevel="0" collapsed="false">
      <c r="B47" s="92" t="s">
        <v>318</v>
      </c>
      <c r="C47" s="93"/>
      <c r="D47" s="93"/>
      <c r="E47" s="93"/>
      <c r="F47" s="93"/>
      <c r="G47" s="93"/>
      <c r="H47" s="93"/>
      <c r="I47" s="94" t="n">
        <f aca="false">SUM(I15:I46)</f>
        <v>464.8</v>
      </c>
      <c r="J47" s="94" t="n">
        <f aca="false">SUM(J15:J46)</f>
        <v>139.44</v>
      </c>
      <c r="K47" s="94" t="n">
        <f aca="false">SUM(K15:K46)</f>
        <v>46.48</v>
      </c>
      <c r="L47" s="94" t="n">
        <f aca="false">SUM(L15:L46)</f>
        <v>650.72</v>
      </c>
    </row>
    <row r="48" customFormat="false" ht="15" hidden="false" customHeight="true" outlineLevel="0" collapsed="false">
      <c r="B48" s="95" t="s">
        <v>319</v>
      </c>
      <c r="C48" s="93"/>
      <c r="D48" s="93"/>
      <c r="E48" s="93"/>
      <c r="F48" s="93"/>
      <c r="G48" s="93"/>
      <c r="H48" s="93"/>
      <c r="L48" s="96" t="n">
        <f aca="false">L47*(1+Assumptions!C8/100)</f>
        <v>748.328</v>
      </c>
    </row>
  </sheetData>
  <mergeCells count="18">
    <mergeCell ref="B1:N1"/>
    <mergeCell ref="B2:N2"/>
    <mergeCell ref="B4:N4"/>
    <mergeCell ref="B7:N7"/>
    <mergeCell ref="B8:N8"/>
    <mergeCell ref="B9:D9"/>
    <mergeCell ref="E9:L9"/>
    <mergeCell ref="B10:D10"/>
    <mergeCell ref="E10:L10"/>
    <mergeCell ref="B11:D11"/>
    <mergeCell ref="E11:L11"/>
    <mergeCell ref="B12:D12"/>
    <mergeCell ref="E12:L12"/>
    <mergeCell ref="B13:D13"/>
    <mergeCell ref="E13:L13"/>
    <mergeCell ref="B14:N14"/>
    <mergeCell ref="B39:H39"/>
    <mergeCell ref="B40:H40"/>
  </mergeCells>
  <dataValidations count="1">
    <dataValidation allowBlank="false" error="Enter L (Low), M (Medium), H (High) or VH (Very High)" errorStyle="stop" errorTitle="Invalid Complexity" operator="between" prompt="L=Low(0.7×) | M=Medium(1.0×) | H=High(1.4×) | VH=Very High(1.9×)" promptTitle="Complexity Level" showDropDown="false" showErrorMessage="true" showInputMessage="true" sqref="E15:E46" type="list">
      <formula1>"L,M,H,VH"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N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16"/>
    <col collapsed="false" customWidth="true" hidden="false" outlineLevel="0" max="3" min="3" style="1" width="34"/>
    <col collapsed="false" customWidth="true" hidden="false" outlineLevel="0" max="4" min="4" style="1" width="12"/>
    <col collapsed="false" customWidth="true" hidden="false" outlineLevel="0" max="6" min="5" style="1" width="10"/>
    <col collapsed="false" customWidth="true" hidden="false" outlineLevel="0" max="11" min="7" style="1" width="11"/>
    <col collapsed="false" customWidth="true" hidden="false" outlineLevel="0" max="13" min="12" style="1" width="13"/>
    <col collapsed="false" customWidth="true" hidden="false" outlineLevel="0" max="14" min="14" style="1" width="18"/>
  </cols>
  <sheetData>
    <row r="1" customFormat="false" ht="48" hidden="false" customHeight="true" outlineLevel="0" collapsed="false">
      <c r="B1" s="2" t="s">
        <v>320</v>
      </c>
      <c r="C1" s="2"/>
      <c r="D1" s="2"/>
      <c r="E1" s="2"/>
      <c r="F1" s="2"/>
      <c r="G1" s="2"/>
      <c r="H1" s="2"/>
      <c r="I1" s="2"/>
      <c r="J1" s="2"/>
      <c r="K1" s="2"/>
      <c r="L1" s="2"/>
      <c r="M1" s="2"/>
      <c r="N1" s="2"/>
    </row>
    <row r="2" customFormat="false" ht="21.75" hidden="false" customHeight="true" outlineLevel="0" collapsed="false">
      <c r="B2" s="3" t="s">
        <v>321</v>
      </c>
      <c r="C2" s="3"/>
      <c r="D2" s="3"/>
      <c r="E2" s="3"/>
      <c r="F2" s="3"/>
      <c r="G2" s="3"/>
      <c r="H2" s="3"/>
      <c r="I2" s="3"/>
      <c r="J2" s="3"/>
      <c r="K2" s="3"/>
      <c r="L2" s="3"/>
      <c r="M2" s="3"/>
      <c r="N2" s="3"/>
    </row>
    <row r="4" customFormat="false" ht="21.75" hidden="false" customHeight="true" outlineLevel="0" collapsed="false">
      <c r="B4" s="101" t="s">
        <v>322</v>
      </c>
      <c r="C4" s="101"/>
      <c r="D4" s="101"/>
      <c r="E4" s="101"/>
      <c r="F4" s="101"/>
      <c r="G4" s="101"/>
      <c r="H4" s="101"/>
      <c r="I4" s="101"/>
      <c r="J4" s="101"/>
      <c r="K4" s="101"/>
      <c r="L4" s="101"/>
      <c r="M4" s="101"/>
      <c r="N4" s="101"/>
    </row>
    <row r="6" customFormat="false" ht="49.5" hidden="false" customHeight="true" outlineLevel="0" collapsed="false">
      <c r="B6" s="102" t="s">
        <v>252</v>
      </c>
      <c r="C6" s="102" t="s">
        <v>323</v>
      </c>
      <c r="D6" s="102" t="s">
        <v>324</v>
      </c>
      <c r="E6" s="102" t="s">
        <v>325</v>
      </c>
      <c r="F6" s="102" t="s">
        <v>326</v>
      </c>
      <c r="G6" s="102" t="s">
        <v>327</v>
      </c>
      <c r="H6" s="102" t="s">
        <v>328</v>
      </c>
      <c r="I6" s="102" t="s">
        <v>329</v>
      </c>
      <c r="J6" s="102" t="s">
        <v>330</v>
      </c>
      <c r="K6" s="102" t="s">
        <v>331</v>
      </c>
      <c r="L6" s="102" t="s">
        <v>332</v>
      </c>
      <c r="M6" s="102" t="s">
        <v>333</v>
      </c>
      <c r="N6" s="102" t="s">
        <v>334</v>
      </c>
    </row>
    <row r="7" customFormat="false" ht="24" hidden="false" customHeight="true" outlineLevel="0" collapsed="false">
      <c r="B7" s="65" t="s">
        <v>335</v>
      </c>
      <c r="C7" s="65"/>
      <c r="D7" s="65"/>
      <c r="E7" s="65"/>
      <c r="F7" s="65"/>
      <c r="G7" s="65"/>
      <c r="H7" s="65"/>
      <c r="I7" s="65"/>
      <c r="J7" s="65"/>
      <c r="K7" s="65"/>
      <c r="L7" s="65"/>
      <c r="M7" s="65"/>
      <c r="N7" s="65"/>
    </row>
    <row r="8" customFormat="false" ht="18" hidden="false" customHeight="true" outlineLevel="0" collapsed="false">
      <c r="B8" s="66" t="s">
        <v>147</v>
      </c>
      <c r="C8" s="66"/>
      <c r="D8" s="66"/>
      <c r="E8" s="66"/>
      <c r="F8" s="66"/>
      <c r="G8" s="66"/>
      <c r="H8" s="66"/>
      <c r="I8" s="66"/>
      <c r="J8" s="66"/>
      <c r="K8" s="66"/>
      <c r="L8" s="66"/>
      <c r="M8" s="66"/>
      <c r="N8" s="66"/>
    </row>
    <row r="9" customFormat="false" ht="27.75" hidden="false" customHeight="true" outlineLevel="0" collapsed="false">
      <c r="B9" s="29" t="s">
        <v>148</v>
      </c>
      <c r="C9" s="29"/>
      <c r="D9" s="29"/>
      <c r="E9" s="29" t="s">
        <v>110</v>
      </c>
      <c r="F9" s="29"/>
      <c r="G9" s="29"/>
      <c r="H9" s="29"/>
      <c r="I9" s="29"/>
      <c r="J9" s="29"/>
      <c r="K9" s="29"/>
      <c r="L9" s="29"/>
      <c r="N9" s="29" t="s">
        <v>149</v>
      </c>
    </row>
    <row r="10" customFormat="false" ht="63.75" hidden="false" customHeight="true" outlineLevel="0" collapsed="false">
      <c r="B10" s="67" t="s">
        <v>150</v>
      </c>
      <c r="C10" s="67"/>
      <c r="D10" s="67"/>
      <c r="E10" s="68" t="s">
        <v>151</v>
      </c>
      <c r="F10" s="68"/>
      <c r="G10" s="68"/>
      <c r="H10" s="68"/>
      <c r="I10" s="68"/>
      <c r="J10" s="68"/>
      <c r="K10" s="68"/>
      <c r="L10" s="68"/>
      <c r="N10" s="69" t="s">
        <v>336</v>
      </c>
    </row>
    <row r="11" customFormat="false" ht="63.75" hidden="false" customHeight="true" outlineLevel="0" collapsed="false">
      <c r="B11" s="70" t="s">
        <v>153</v>
      </c>
      <c r="C11" s="70"/>
      <c r="D11" s="70"/>
      <c r="E11" s="71" t="s">
        <v>154</v>
      </c>
      <c r="F11" s="71"/>
      <c r="G11" s="71"/>
      <c r="H11" s="71"/>
      <c r="I11" s="71"/>
      <c r="J11" s="71"/>
      <c r="K11" s="71"/>
      <c r="L11" s="71"/>
      <c r="N11" s="72" t="s">
        <v>337</v>
      </c>
    </row>
    <row r="12" customFormat="false" ht="63.75" hidden="false" customHeight="true" outlineLevel="0" collapsed="false">
      <c r="B12" s="73" t="s">
        <v>156</v>
      </c>
      <c r="C12" s="73"/>
      <c r="D12" s="73"/>
      <c r="E12" s="74" t="s">
        <v>157</v>
      </c>
      <c r="F12" s="74"/>
      <c r="G12" s="74"/>
      <c r="H12" s="74"/>
      <c r="I12" s="74"/>
      <c r="J12" s="74"/>
      <c r="K12" s="74"/>
      <c r="L12" s="74"/>
      <c r="N12" s="75" t="s">
        <v>338</v>
      </c>
    </row>
    <row r="13" customFormat="false" ht="63.75" hidden="false" customHeight="true" outlineLevel="0" collapsed="false">
      <c r="B13" s="76" t="s">
        <v>159</v>
      </c>
      <c r="C13" s="76"/>
      <c r="D13" s="76"/>
      <c r="E13" s="77" t="s">
        <v>160</v>
      </c>
      <c r="F13" s="77"/>
      <c r="G13" s="77"/>
      <c r="H13" s="77"/>
      <c r="I13" s="77"/>
      <c r="J13" s="77"/>
      <c r="K13" s="77"/>
      <c r="L13" s="77"/>
      <c r="N13" s="78" t="s">
        <v>339</v>
      </c>
    </row>
    <row r="14" customFormat="false" ht="6" hidden="false" customHeight="true" outlineLevel="0" collapsed="false">
      <c r="B14" s="79"/>
      <c r="C14" s="79"/>
      <c r="D14" s="79"/>
      <c r="E14" s="79"/>
      <c r="F14" s="79"/>
      <c r="G14" s="79"/>
      <c r="H14" s="79"/>
      <c r="I14" s="79"/>
      <c r="J14" s="79"/>
      <c r="K14" s="79"/>
      <c r="L14" s="79"/>
      <c r="M14" s="79"/>
      <c r="N14" s="79"/>
    </row>
    <row r="15" customFormat="false" ht="21.75" hidden="false" customHeight="true" outlineLevel="0" collapsed="false">
      <c r="B15" s="80" t="s">
        <v>340</v>
      </c>
      <c r="C15" s="81" t="s">
        <v>341</v>
      </c>
      <c r="D15" s="99" t="s">
        <v>342</v>
      </c>
      <c r="E15" s="7" t="s">
        <v>121</v>
      </c>
      <c r="F15" s="82" t="n">
        <v>1</v>
      </c>
      <c r="G15" s="46" t="n">
        <v>8</v>
      </c>
      <c r="H15" s="46" t="n">
        <v>12</v>
      </c>
      <c r="I15" s="46" t="n">
        <v>6</v>
      </c>
      <c r="J15" s="46" t="n">
        <v>4</v>
      </c>
      <c r="K15" s="46" t="n">
        <v>4</v>
      </c>
      <c r="L15" s="100" t="n">
        <f aca="false">(G15+H15+I15+J15)*F15*(IF(E15="L",Assumptions!D34,IF(E15="M",Assumptions!D35,IF(E15="H",Assumptions!D36,1))))</f>
        <v>42</v>
      </c>
      <c r="M15" s="86" t="n">
        <f aca="false">L15+K15*F15*(IF(E15="L",Assumptions!D34,IF(E15="M",Assumptions!D35,IF(E15="H",Assumptions!D36,1))))+L15*Assumptions!C14/100</f>
        <v>58.1</v>
      </c>
      <c r="N15" s="33" t="s">
        <v>343</v>
      </c>
    </row>
    <row r="16" customFormat="false" ht="21.75" hidden="false" customHeight="true" outlineLevel="0" collapsed="false">
      <c r="B16" s="41"/>
      <c r="C16" s="89" t="s">
        <v>344</v>
      </c>
      <c r="D16" s="43" t="s">
        <v>342</v>
      </c>
      <c r="E16" s="7" t="s">
        <v>117</v>
      </c>
      <c r="F16" s="82" t="n">
        <v>1</v>
      </c>
      <c r="G16" s="46" t="n">
        <v>3</v>
      </c>
      <c r="H16" s="46" t="n">
        <v>5</v>
      </c>
      <c r="I16" s="46" t="n">
        <v>3</v>
      </c>
      <c r="J16" s="46" t="n">
        <v>2</v>
      </c>
      <c r="K16" s="46" t="n">
        <v>2</v>
      </c>
      <c r="L16" s="100" t="n">
        <f aca="false">(G16+H16+I16+J16)*F16*(IF(E16="L",Assumptions!D34,IF(E16="M",Assumptions!D35,IF(E16="H",Assumptions!D36,1))))</f>
        <v>13</v>
      </c>
      <c r="M16" s="86" t="n">
        <f aca="false">L16+K16*F16*(IF(E16="L",Assumptions!D34,IF(E16="M",Assumptions!D35,IF(E16="H",Assumptions!D36,1))))+L16*Assumptions!C14/100</f>
        <v>18.25</v>
      </c>
      <c r="N16" s="36" t="s">
        <v>343</v>
      </c>
    </row>
    <row r="17" customFormat="false" ht="21.75" hidden="false" customHeight="true" outlineLevel="0" collapsed="false">
      <c r="B17" s="80"/>
      <c r="C17" s="81" t="s">
        <v>345</v>
      </c>
      <c r="D17" s="99" t="s">
        <v>342</v>
      </c>
      <c r="E17" s="7" t="s">
        <v>117</v>
      </c>
      <c r="F17" s="82" t="n">
        <v>1</v>
      </c>
      <c r="G17" s="46" t="n">
        <v>2</v>
      </c>
      <c r="H17" s="46" t="n">
        <v>3</v>
      </c>
      <c r="I17" s="46" t="n">
        <v>2</v>
      </c>
      <c r="J17" s="46" t="n">
        <v>2</v>
      </c>
      <c r="K17" s="46" t="n">
        <v>1</v>
      </c>
      <c r="L17" s="100" t="n">
        <f aca="false">(G17+H17+I17+J17)*F17*(IF(E17="L",Assumptions!D34,IF(E17="M",Assumptions!D35,IF(E17="H",Assumptions!D36,1))))</f>
        <v>9</v>
      </c>
      <c r="M17" s="86" t="n">
        <f aca="false">L17+K17*F17*(IF(E17="L",Assumptions!D34,IF(E17="M",Assumptions!D35,IF(E17="H",Assumptions!D36,1))))+L17*Assumptions!C14/100</f>
        <v>12.25</v>
      </c>
      <c r="N17" s="33" t="s">
        <v>346</v>
      </c>
    </row>
    <row r="18" customFormat="false" ht="21.75" hidden="false" customHeight="true" outlineLevel="0" collapsed="false">
      <c r="B18" s="41"/>
      <c r="C18" s="89" t="s">
        <v>347</v>
      </c>
      <c r="D18" s="43" t="s">
        <v>342</v>
      </c>
      <c r="E18" s="7" t="s">
        <v>121</v>
      </c>
      <c r="F18" s="82" t="n">
        <v>1</v>
      </c>
      <c r="G18" s="46" t="n">
        <v>4</v>
      </c>
      <c r="H18" s="46" t="n">
        <v>6</v>
      </c>
      <c r="I18" s="46" t="n">
        <v>4</v>
      </c>
      <c r="J18" s="46" t="n">
        <v>3</v>
      </c>
      <c r="K18" s="46" t="n">
        <v>3</v>
      </c>
      <c r="L18" s="100" t="n">
        <f aca="false">(G18+H18+I18+J18)*F18*(IF(E18="L",Assumptions!D34,IF(E18="M",Assumptions!D35,IF(E18="H",Assumptions!D36,1))))</f>
        <v>23.8</v>
      </c>
      <c r="M18" s="86" t="n">
        <f aca="false">L18+K18*F18*(IF(E18="L",Assumptions!D34,IF(E18="M",Assumptions!D35,IF(E18="H",Assumptions!D36,1))))+L18*Assumptions!C14/100</f>
        <v>33.95</v>
      </c>
      <c r="N18" s="36" t="s">
        <v>343</v>
      </c>
    </row>
    <row r="19" customFormat="false" ht="21.75" hidden="false" customHeight="true" outlineLevel="0" collapsed="false">
      <c r="B19" s="80"/>
      <c r="C19" s="81" t="s">
        <v>348</v>
      </c>
      <c r="D19" s="99" t="s">
        <v>349</v>
      </c>
      <c r="E19" s="7" t="s">
        <v>121</v>
      </c>
      <c r="F19" s="82" t="n">
        <v>1</v>
      </c>
      <c r="G19" s="46" t="n">
        <v>4</v>
      </c>
      <c r="H19" s="46" t="n">
        <v>8</v>
      </c>
      <c r="I19" s="46" t="n">
        <v>4</v>
      </c>
      <c r="J19" s="46" t="n">
        <v>3</v>
      </c>
      <c r="K19" s="46" t="n">
        <v>3</v>
      </c>
      <c r="L19" s="100" t="n">
        <f aca="false">(G19+H19+I19+J19)*F19*(IF(E19="L",Assumptions!D34,IF(E19="M",Assumptions!D35,IF(E19="H",Assumptions!D36,1))))</f>
        <v>26.6</v>
      </c>
      <c r="M19" s="86" t="n">
        <f aca="false">L19+K19*F19*(IF(E19="L",Assumptions!D34,IF(E19="M",Assumptions!D35,IF(E19="H",Assumptions!D36,1))))+L19*Assumptions!C14/100</f>
        <v>37.45</v>
      </c>
      <c r="N19" s="33" t="s">
        <v>350</v>
      </c>
    </row>
    <row r="20" customFormat="false" ht="21.75" hidden="false" customHeight="true" outlineLevel="0" collapsed="false">
      <c r="B20" s="41"/>
      <c r="C20" s="89" t="s">
        <v>351</v>
      </c>
      <c r="D20" s="43" t="s">
        <v>349</v>
      </c>
      <c r="E20" s="7" t="s">
        <v>117</v>
      </c>
      <c r="F20" s="82" t="n">
        <v>1</v>
      </c>
      <c r="G20" s="46" t="n">
        <v>2</v>
      </c>
      <c r="H20" s="46" t="n">
        <v>4</v>
      </c>
      <c r="I20" s="46" t="n">
        <v>3</v>
      </c>
      <c r="J20" s="46" t="n">
        <v>2</v>
      </c>
      <c r="K20" s="46" t="n">
        <v>2</v>
      </c>
      <c r="L20" s="100" t="n">
        <f aca="false">(G20+H20+I20+J20)*F20*(IF(E20="L",Assumptions!D34,IF(E20="M",Assumptions!D35,IF(E20="H",Assumptions!D36,1))))</f>
        <v>11</v>
      </c>
      <c r="M20" s="86" t="n">
        <f aca="false">L20+K20*F20*(IF(E20="L",Assumptions!D34,IF(E20="M",Assumptions!D35,IF(E20="H",Assumptions!D36,1))))+L20*Assumptions!C14/100</f>
        <v>15.75</v>
      </c>
      <c r="N20" s="36" t="s">
        <v>343</v>
      </c>
    </row>
    <row r="21" customFormat="false" ht="21.75" hidden="false" customHeight="true" outlineLevel="0" collapsed="false">
      <c r="B21" s="80" t="s">
        <v>352</v>
      </c>
      <c r="C21" s="81" t="s">
        <v>353</v>
      </c>
      <c r="D21" s="99" t="s">
        <v>354</v>
      </c>
      <c r="E21" s="7" t="s">
        <v>121</v>
      </c>
      <c r="F21" s="82" t="n">
        <v>1</v>
      </c>
      <c r="G21" s="46" t="n">
        <v>3</v>
      </c>
      <c r="H21" s="46" t="n">
        <v>5</v>
      </c>
      <c r="I21" s="46" t="n">
        <v>3</v>
      </c>
      <c r="J21" s="46" t="n">
        <v>2</v>
      </c>
      <c r="K21" s="46" t="n">
        <v>3</v>
      </c>
      <c r="L21" s="100" t="n">
        <f aca="false">(G21+H21+I21+J21)*F21*(IF(E21="L",Assumptions!D34,IF(E21="M",Assumptions!D35,IF(E21="H",Assumptions!D36,1))))</f>
        <v>18.2</v>
      </c>
      <c r="M21" s="86" t="n">
        <f aca="false">L21+K21*F21*(IF(E21="L",Assumptions!D34,IF(E21="M",Assumptions!D35,IF(E21="H",Assumptions!D36,1))))+L21*Assumptions!C14/100</f>
        <v>26.95</v>
      </c>
      <c r="N21" s="33" t="s">
        <v>343</v>
      </c>
    </row>
    <row r="22" customFormat="false" ht="21.75" hidden="false" customHeight="true" outlineLevel="0" collapsed="false">
      <c r="B22" s="41"/>
      <c r="C22" s="89" t="s">
        <v>355</v>
      </c>
      <c r="D22" s="43" t="s">
        <v>354</v>
      </c>
      <c r="E22" s="7" t="s">
        <v>121</v>
      </c>
      <c r="F22" s="82" t="n">
        <v>1</v>
      </c>
      <c r="G22" s="46" t="n">
        <v>3</v>
      </c>
      <c r="H22" s="46" t="n">
        <v>6</v>
      </c>
      <c r="I22" s="46" t="n">
        <v>4</v>
      </c>
      <c r="J22" s="46" t="n">
        <v>3</v>
      </c>
      <c r="K22" s="46" t="n">
        <v>4</v>
      </c>
      <c r="L22" s="100" t="n">
        <f aca="false">(G22+H22+I22+J22)*F22*(IF(E22="L",Assumptions!D34,IF(E22="M",Assumptions!D35,IF(E22="H",Assumptions!D36,1))))</f>
        <v>22.4</v>
      </c>
      <c r="M22" s="86" t="n">
        <f aca="false">L22+K22*F22*(IF(E22="L",Assumptions!D34,IF(E22="M",Assumptions!D35,IF(E22="H",Assumptions!D36,1))))+L22*Assumptions!C14/100</f>
        <v>33.6</v>
      </c>
      <c r="N22" s="36" t="s">
        <v>350</v>
      </c>
    </row>
    <row r="23" customFormat="false" ht="21.75" hidden="false" customHeight="true" outlineLevel="0" collapsed="false">
      <c r="B23" s="80"/>
      <c r="C23" s="81" t="s">
        <v>356</v>
      </c>
      <c r="D23" s="99" t="s">
        <v>354</v>
      </c>
      <c r="E23" s="7" t="s">
        <v>121</v>
      </c>
      <c r="F23" s="82" t="n">
        <v>1</v>
      </c>
      <c r="G23" s="46" t="n">
        <v>3</v>
      </c>
      <c r="H23" s="46" t="n">
        <v>6</v>
      </c>
      <c r="I23" s="46" t="n">
        <v>4</v>
      </c>
      <c r="J23" s="46" t="n">
        <v>3</v>
      </c>
      <c r="K23" s="46" t="n">
        <v>4</v>
      </c>
      <c r="L23" s="100" t="n">
        <f aca="false">(G23+H23+I23+J23)*F23*(IF(E23="L",Assumptions!D34,IF(E23="M",Assumptions!D35,IF(E23="H",Assumptions!D36,1))))</f>
        <v>22.4</v>
      </c>
      <c r="M23" s="86" t="n">
        <f aca="false">L23+K23*F23*(IF(E23="L",Assumptions!D34,IF(E23="M",Assumptions!D35,IF(E23="H",Assumptions!D36,1))))+L23*Assumptions!C14/100</f>
        <v>33.6</v>
      </c>
      <c r="N23" s="33" t="s">
        <v>350</v>
      </c>
    </row>
    <row r="24" customFormat="false" ht="21.75" hidden="false" customHeight="true" outlineLevel="0" collapsed="false">
      <c r="B24" s="41"/>
      <c r="C24" s="89" t="s">
        <v>357</v>
      </c>
      <c r="D24" s="43" t="s">
        <v>354</v>
      </c>
      <c r="E24" s="7" t="s">
        <v>121</v>
      </c>
      <c r="F24" s="82" t="n">
        <v>1</v>
      </c>
      <c r="G24" s="46" t="n">
        <v>4</v>
      </c>
      <c r="H24" s="46" t="n">
        <v>8</v>
      </c>
      <c r="I24" s="46" t="n">
        <v>5</v>
      </c>
      <c r="J24" s="46" t="n">
        <v>4</v>
      </c>
      <c r="K24" s="46" t="n">
        <v>5</v>
      </c>
      <c r="L24" s="100" t="n">
        <f aca="false">(G24+H24+I24+J24)*F24*(IF(E24="L",Assumptions!D34,IF(E24="M",Assumptions!D35,IF(E24="H",Assumptions!D36,1))))</f>
        <v>29.4</v>
      </c>
      <c r="M24" s="86" t="n">
        <f aca="false">L24+K24*F24*(IF(E24="L",Assumptions!D34,IF(E24="M",Assumptions!D35,IF(E24="H",Assumptions!D36,1))))+L24*Assumptions!C14/100</f>
        <v>43.75</v>
      </c>
      <c r="N24" s="36" t="s">
        <v>358</v>
      </c>
    </row>
    <row r="25" customFormat="false" ht="21.75" hidden="false" customHeight="true" outlineLevel="0" collapsed="false">
      <c r="B25" s="80"/>
      <c r="C25" s="81" t="s">
        <v>359</v>
      </c>
      <c r="D25" s="99" t="s">
        <v>354</v>
      </c>
      <c r="E25" s="7" t="s">
        <v>117</v>
      </c>
      <c r="F25" s="82" t="n">
        <v>1</v>
      </c>
      <c r="G25" s="46" t="n">
        <v>3</v>
      </c>
      <c r="H25" s="46" t="n">
        <v>4</v>
      </c>
      <c r="I25" s="46" t="n">
        <v>3</v>
      </c>
      <c r="J25" s="46" t="n">
        <v>2</v>
      </c>
      <c r="K25" s="46" t="n">
        <v>3</v>
      </c>
      <c r="L25" s="100" t="n">
        <f aca="false">(G25+H25+I25+J25)*F25*(IF(E25="L",Assumptions!D34,IF(E25="M",Assumptions!D35,IF(E25="H",Assumptions!D36,1))))</f>
        <v>12</v>
      </c>
      <c r="M25" s="86" t="n">
        <f aca="false">L25+K25*F25*(IF(E25="L",Assumptions!D34,IF(E25="M",Assumptions!D35,IF(E25="H",Assumptions!D36,1))))+L25*Assumptions!C14/100</f>
        <v>18</v>
      </c>
      <c r="N25" s="33" t="s">
        <v>343</v>
      </c>
    </row>
    <row r="26" customFormat="false" ht="21.75" hidden="false" customHeight="true" outlineLevel="0" collapsed="false">
      <c r="B26" s="41"/>
      <c r="C26" s="89" t="s">
        <v>360</v>
      </c>
      <c r="D26" s="43" t="s">
        <v>354</v>
      </c>
      <c r="E26" s="7" t="s">
        <v>117</v>
      </c>
      <c r="F26" s="82" t="n">
        <v>1</v>
      </c>
      <c r="G26" s="46" t="n">
        <v>3</v>
      </c>
      <c r="H26" s="46" t="n">
        <v>5</v>
      </c>
      <c r="I26" s="46" t="n">
        <v>3</v>
      </c>
      <c r="J26" s="46" t="n">
        <v>2</v>
      </c>
      <c r="K26" s="46" t="n">
        <v>2</v>
      </c>
      <c r="L26" s="100" t="n">
        <f aca="false">(G26+H26+I26+J26)*F26*(IF(E26="L",Assumptions!D34,IF(E26="M",Assumptions!D35,IF(E26="H",Assumptions!D36,1))))</f>
        <v>13</v>
      </c>
      <c r="M26" s="86" t="n">
        <f aca="false">L26+K26*F26*(IF(E26="L",Assumptions!D34,IF(E26="M",Assumptions!D35,IF(E26="H",Assumptions!D36,1))))+L26*Assumptions!C14/100</f>
        <v>18.25</v>
      </c>
      <c r="N26" s="36" t="s">
        <v>346</v>
      </c>
    </row>
    <row r="27" customFormat="false" ht="21.75" hidden="false" customHeight="true" outlineLevel="0" collapsed="false">
      <c r="B27" s="80"/>
      <c r="C27" s="81" t="s">
        <v>361</v>
      </c>
      <c r="D27" s="99" t="s">
        <v>354</v>
      </c>
      <c r="E27" s="7" t="s">
        <v>117</v>
      </c>
      <c r="F27" s="82" t="n">
        <v>1</v>
      </c>
      <c r="G27" s="46" t="n">
        <v>3</v>
      </c>
      <c r="H27" s="46" t="n">
        <v>5</v>
      </c>
      <c r="I27" s="46" t="n">
        <v>3</v>
      </c>
      <c r="J27" s="46" t="n">
        <v>2</v>
      </c>
      <c r="K27" s="46" t="n">
        <v>2</v>
      </c>
      <c r="L27" s="100" t="n">
        <f aca="false">(G27+H27+I27+J27)*F27*(IF(E27="L",Assumptions!D34,IF(E27="M",Assumptions!D35,IF(E27="H",Assumptions!D36,1))))</f>
        <v>13</v>
      </c>
      <c r="M27" s="86" t="n">
        <f aca="false">L27+K27*F27*(IF(E27="L",Assumptions!D34,IF(E27="M",Assumptions!D35,IF(E27="H",Assumptions!D36,1))))+L27*Assumptions!C14/100</f>
        <v>18.25</v>
      </c>
      <c r="N27" s="33" t="s">
        <v>346</v>
      </c>
    </row>
    <row r="28" customFormat="false" ht="25.5" hidden="false" customHeight="true" outlineLevel="0" collapsed="false">
      <c r="B28" s="41"/>
      <c r="C28" s="41"/>
      <c r="D28" s="41"/>
      <c r="E28" s="41"/>
      <c r="F28" s="41"/>
      <c r="G28" s="41"/>
      <c r="H28" s="41"/>
      <c r="I28" s="41"/>
      <c r="J28" s="41"/>
      <c r="K28" s="41"/>
      <c r="L28" s="100" t="n">
        <f aca="false">(G28+H28+I28+J28)*F28*(IF(E28="L",Assumptions!D38,IF(E28="M",Assumptions!D39,IF(E28="H",Assumptions!D40,1))))</f>
        <v>0</v>
      </c>
      <c r="M28" s="86" t="n">
        <f aca="false">L28+K28*F28*(IF(E28="L",Assumptions!D38,IF(E28="M",Assumptions!D39,IF(E28="H",Assumptions!D40,1))))+L28*Assumptions!C9/100</f>
        <v>0</v>
      </c>
      <c r="N28" s="36" t="s">
        <v>343</v>
      </c>
    </row>
    <row r="29" customFormat="false" ht="21.75" hidden="false" customHeight="true" outlineLevel="0" collapsed="false">
      <c r="B29" s="80" t="s">
        <v>362</v>
      </c>
      <c r="C29" s="80"/>
      <c r="D29" s="80"/>
      <c r="E29" s="80"/>
      <c r="F29" s="80"/>
      <c r="G29" s="80"/>
      <c r="H29" s="80"/>
      <c r="I29" s="80"/>
      <c r="J29" s="80"/>
      <c r="K29" s="80"/>
      <c r="L29" s="100" t="n">
        <f aca="false">(G29+H29+I29+J29)*F29*(IF(E29="L",Assumptions!D38,IF(E29="M",Assumptions!D39,IF(E29="H",Assumptions!D40,1))))</f>
        <v>0</v>
      </c>
      <c r="M29" s="86" t="n">
        <f aca="false">L29+K29*F29*(IF(E29="L",Assumptions!D38,IF(E29="M",Assumptions!D39,IF(E29="H",Assumptions!D40,1))))+L29*Assumptions!C9/100</f>
        <v>0</v>
      </c>
      <c r="N29" s="33" t="s">
        <v>343</v>
      </c>
    </row>
    <row r="30" customFormat="false" ht="15" hidden="false" customHeight="true" outlineLevel="0" collapsed="false">
      <c r="B30" s="41"/>
      <c r="C30" s="89" t="s">
        <v>363</v>
      </c>
      <c r="D30" s="43" t="s">
        <v>354</v>
      </c>
      <c r="E30" s="7" t="s">
        <v>121</v>
      </c>
      <c r="F30" s="82" t="n">
        <v>1</v>
      </c>
      <c r="G30" s="46" t="n">
        <v>4</v>
      </c>
      <c r="H30" s="46" t="n">
        <v>8</v>
      </c>
      <c r="I30" s="46" t="n">
        <v>5</v>
      </c>
      <c r="J30" s="46" t="n">
        <v>4</v>
      </c>
      <c r="K30" s="46" t="n">
        <v>4</v>
      </c>
      <c r="L30" s="100" t="n">
        <f aca="false">(G30+H30+I30+J30)*F30*(IF(E30="L",Assumptions!D34,IF(E30="M",Assumptions!D35,IF(E30="H",Assumptions!D36,1))))</f>
        <v>29.4</v>
      </c>
      <c r="M30" s="86" t="n">
        <f aca="false">L30+K30*F30*(IF(E30="L",Assumptions!D34,IF(E30="M",Assumptions!D35,IF(E30="H",Assumptions!D36,1))))+L30*Assumptions!C14/100</f>
        <v>42.35</v>
      </c>
      <c r="N30" s="36" t="s">
        <v>358</v>
      </c>
    </row>
    <row r="31" customFormat="false" ht="15" hidden="false" customHeight="true" outlineLevel="0" collapsed="false">
      <c r="B31" s="80"/>
      <c r="C31" s="81" t="s">
        <v>364</v>
      </c>
      <c r="D31" s="99" t="s">
        <v>354</v>
      </c>
      <c r="E31" s="7" t="s">
        <v>117</v>
      </c>
      <c r="F31" s="82" t="n">
        <v>1</v>
      </c>
      <c r="G31" s="46" t="n">
        <v>3</v>
      </c>
      <c r="H31" s="46" t="n">
        <v>5</v>
      </c>
      <c r="I31" s="46" t="n">
        <v>3</v>
      </c>
      <c r="J31" s="46" t="n">
        <v>3</v>
      </c>
      <c r="K31" s="46" t="n">
        <v>3</v>
      </c>
      <c r="L31" s="100" t="n">
        <f aca="false">(G31+H31+I31+J31)*F31*(IF(E31="L",Assumptions!D34,IF(E31="M",Assumptions!D35,IF(E31="H",Assumptions!D36,1))))</f>
        <v>14</v>
      </c>
      <c r="M31" s="86" t="n">
        <f aca="false">L31+K31*F31*(IF(E31="L",Assumptions!D34,IF(E31="M",Assumptions!D35,IF(E31="H",Assumptions!D36,1))))+L31*Assumptions!C14/100</f>
        <v>20.5</v>
      </c>
      <c r="N31" s="33" t="s">
        <v>343</v>
      </c>
    </row>
    <row r="32" customFormat="false" ht="15" hidden="false" customHeight="true" outlineLevel="0" collapsed="false">
      <c r="B32" s="41"/>
      <c r="C32" s="89" t="s">
        <v>365</v>
      </c>
      <c r="D32" s="43" t="s">
        <v>354</v>
      </c>
      <c r="E32" s="7" t="s">
        <v>121</v>
      </c>
      <c r="F32" s="82" t="n">
        <v>1</v>
      </c>
      <c r="G32" s="46" t="n">
        <v>4</v>
      </c>
      <c r="H32" s="46" t="n">
        <v>6</v>
      </c>
      <c r="I32" s="46" t="n">
        <v>4</v>
      </c>
      <c r="J32" s="46" t="n">
        <v>3</v>
      </c>
      <c r="K32" s="46" t="n">
        <v>3</v>
      </c>
      <c r="L32" s="100" t="n">
        <f aca="false">(G32+H32+I32+J32)*F32*(IF(E32="L",Assumptions!D34,IF(E32="M",Assumptions!D35,IF(E32="H",Assumptions!D36,1))))</f>
        <v>23.8</v>
      </c>
      <c r="M32" s="86" t="n">
        <f aca="false">L32+K32*F32*(IF(E32="L",Assumptions!D34,IF(E32="M",Assumptions!D35,IF(E32="H",Assumptions!D36,1))))+L32*Assumptions!C14/100</f>
        <v>33.95</v>
      </c>
      <c r="N32" s="36" t="s">
        <v>343</v>
      </c>
    </row>
    <row r="33" customFormat="false" ht="15" hidden="false" customHeight="true" outlineLevel="0" collapsed="false">
      <c r="B33" s="80"/>
      <c r="C33" s="81" t="s">
        <v>366</v>
      </c>
      <c r="D33" s="99" t="s">
        <v>354</v>
      </c>
      <c r="E33" s="7" t="s">
        <v>121</v>
      </c>
      <c r="F33" s="82" t="n">
        <v>1</v>
      </c>
      <c r="G33" s="46" t="n">
        <v>3</v>
      </c>
      <c r="H33" s="46" t="n">
        <v>6</v>
      </c>
      <c r="I33" s="46" t="n">
        <v>4</v>
      </c>
      <c r="J33" s="46" t="n">
        <v>3</v>
      </c>
      <c r="K33" s="46" t="n">
        <v>3</v>
      </c>
      <c r="L33" s="100" t="n">
        <f aca="false">(G33+H33+I33+J33)*F33*(IF(E33="L",Assumptions!D34,IF(E33="M",Assumptions!D35,IF(E33="H",Assumptions!D36,1))))</f>
        <v>22.4</v>
      </c>
      <c r="M33" s="86" t="n">
        <f aca="false">L33+K33*F33*(IF(E33="L",Assumptions!D34,IF(E33="M",Assumptions!D35,IF(E33="H",Assumptions!D36,1))))+L33*Assumptions!C14/100</f>
        <v>32.2</v>
      </c>
      <c r="N33" s="33" t="s">
        <v>343</v>
      </c>
    </row>
    <row r="34" customFormat="false" ht="15" hidden="false" customHeight="true" outlineLevel="0" collapsed="false">
      <c r="B34" s="41" t="s">
        <v>313</v>
      </c>
      <c r="C34" s="89" t="s">
        <v>367</v>
      </c>
      <c r="D34" s="43" t="s">
        <v>368</v>
      </c>
      <c r="E34" s="7" t="s">
        <v>121</v>
      </c>
      <c r="F34" s="82" t="n">
        <v>1</v>
      </c>
      <c r="G34" s="46" t="n">
        <v>5</v>
      </c>
      <c r="H34" s="46" t="n">
        <v>10</v>
      </c>
      <c r="I34" s="46" t="n">
        <v>6</v>
      </c>
      <c r="J34" s="46" t="n">
        <v>4</v>
      </c>
      <c r="K34" s="46" t="n">
        <v>5</v>
      </c>
      <c r="L34" s="100" t="n">
        <f aca="false">(G34+H34+I34+J34)*F34*(IF(E34="L",Assumptions!D34,IF(E34="M",Assumptions!D35,IF(E34="H",Assumptions!D36,1))))</f>
        <v>35</v>
      </c>
      <c r="M34" s="86" t="n">
        <f aca="false">L34+K34*F34*(IF(E34="L",Assumptions!D34,IF(E34="M",Assumptions!D35,IF(E34="H",Assumptions!D36,1))))+L34*Assumptions!C14/100</f>
        <v>50.75</v>
      </c>
      <c r="N34" s="36" t="s">
        <v>358</v>
      </c>
    </row>
    <row r="35" customFormat="false" ht="15" hidden="false" customHeight="true" outlineLevel="0" collapsed="false">
      <c r="B35" s="80"/>
      <c r="C35" s="81" t="s">
        <v>369</v>
      </c>
      <c r="D35" s="99" t="s">
        <v>368</v>
      </c>
      <c r="E35" s="7" t="s">
        <v>117</v>
      </c>
      <c r="F35" s="82" t="n">
        <v>1</v>
      </c>
      <c r="G35" s="46" t="n">
        <v>3</v>
      </c>
      <c r="H35" s="46" t="n">
        <v>5</v>
      </c>
      <c r="I35" s="46" t="n">
        <v>4</v>
      </c>
      <c r="J35" s="46" t="n">
        <v>3</v>
      </c>
      <c r="K35" s="46" t="n">
        <v>3</v>
      </c>
      <c r="L35" s="100" t="n">
        <f aca="false">(G35+H35+I35+J35)*F35*(IF(E35="L",Assumptions!D34,IF(E35="M",Assumptions!D35,IF(E35="H",Assumptions!D36,1))))</f>
        <v>15</v>
      </c>
      <c r="M35" s="86" t="n">
        <f aca="false">L35+K35*F35*(IF(E35="L",Assumptions!D34,IF(E35="M",Assumptions!D35,IF(E35="H",Assumptions!D36,1))))+L35*Assumptions!C14/100</f>
        <v>21.75</v>
      </c>
      <c r="N35" s="33" t="s">
        <v>358</v>
      </c>
    </row>
    <row r="36" customFormat="false" ht="15" hidden="false" customHeight="true" outlineLevel="0" collapsed="false">
      <c r="B36" s="92" t="s">
        <v>370</v>
      </c>
      <c r="C36" s="93"/>
      <c r="D36" s="93"/>
      <c r="E36" s="93"/>
      <c r="F36" s="93"/>
      <c r="G36" s="93"/>
      <c r="H36" s="93"/>
      <c r="I36" s="93"/>
      <c r="J36" s="93"/>
      <c r="K36" s="93"/>
      <c r="L36" s="94" t="n">
        <f aca="false">SUM(L15:L35)</f>
        <v>395.4</v>
      </c>
      <c r="M36" s="94" t="n">
        <f aca="false">SUM(M15:M35)</f>
        <v>569.65</v>
      </c>
    </row>
    <row r="37" customFormat="false" ht="15" hidden="false" customHeight="true" outlineLevel="0" collapsed="false">
      <c r="B37" s="95" t="s">
        <v>371</v>
      </c>
      <c r="C37" s="93"/>
      <c r="D37" s="93"/>
      <c r="E37" s="93"/>
      <c r="F37" s="93"/>
      <c r="G37" s="93"/>
      <c r="H37" s="93"/>
      <c r="I37" s="93"/>
      <c r="J37" s="93"/>
      <c r="K37" s="93"/>
      <c r="M37" s="96" t="n">
        <f aca="false">M36*(1+Assumptions!C8/100)</f>
        <v>655.0975</v>
      </c>
    </row>
  </sheetData>
  <mergeCells count="18">
    <mergeCell ref="B1:N1"/>
    <mergeCell ref="B2:N2"/>
    <mergeCell ref="B4:N4"/>
    <mergeCell ref="B7:N7"/>
    <mergeCell ref="B8:N8"/>
    <mergeCell ref="B9:D9"/>
    <mergeCell ref="E9:L9"/>
    <mergeCell ref="B10:D10"/>
    <mergeCell ref="E10:L10"/>
    <mergeCell ref="B11:D11"/>
    <mergeCell ref="E11:L11"/>
    <mergeCell ref="B12:D12"/>
    <mergeCell ref="E12:L12"/>
    <mergeCell ref="B13:D13"/>
    <mergeCell ref="E13:L13"/>
    <mergeCell ref="B14:N14"/>
    <mergeCell ref="B28:K28"/>
    <mergeCell ref="B29:K29"/>
  </mergeCells>
  <dataValidations count="1">
    <dataValidation allowBlank="false" error="Enter L (Low), M (Medium), H (High)" errorStyle="stop" errorTitle="Invalid Complexity" operator="between" prompt="L=Low(0.7×) | M=Medium(1.0×) | H=High(1.4×)" promptTitle="Complexity Level" showDropDown="false" showErrorMessage="true" showInputMessage="true" sqref="E15:E35" type="list">
      <formula1>"L,M,H"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I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7" min="3" style="1" width="16"/>
    <col collapsed="false" customWidth="true" hidden="false" outlineLevel="0" max="9" min="8" style="1" width="18"/>
  </cols>
  <sheetData>
    <row r="1" customFormat="false" ht="48" hidden="false" customHeight="true" outlineLevel="0" collapsed="false">
      <c r="B1" s="2" t="s">
        <v>372</v>
      </c>
      <c r="C1" s="2"/>
      <c r="D1" s="2"/>
      <c r="E1" s="2"/>
      <c r="F1" s="2"/>
      <c r="G1" s="2"/>
      <c r="H1" s="2"/>
      <c r="I1" s="2"/>
    </row>
    <row r="2" customFormat="false" ht="21.75" hidden="false" customHeight="true" outlineLevel="0" collapsed="false">
      <c r="B2" s="3" t="s">
        <v>373</v>
      </c>
      <c r="C2" s="3"/>
      <c r="D2" s="3"/>
      <c r="E2" s="3"/>
      <c r="F2" s="3"/>
      <c r="G2" s="3"/>
      <c r="H2" s="3"/>
      <c r="I2" s="3"/>
    </row>
    <row r="4" customFormat="false" ht="24" hidden="false" customHeight="true" outlineLevel="0" collapsed="false">
      <c r="B4" s="10" t="s">
        <v>374</v>
      </c>
      <c r="C4" s="10"/>
      <c r="D4" s="10"/>
      <c r="E4" s="10"/>
      <c r="F4" s="10"/>
      <c r="G4" s="10"/>
      <c r="H4" s="10"/>
      <c r="I4" s="10"/>
    </row>
    <row r="5" customFormat="false" ht="21.75" hidden="false" customHeight="true" outlineLevel="0" collapsed="false">
      <c r="B5" s="103" t="s">
        <v>375</v>
      </c>
      <c r="C5" s="103" t="s">
        <v>376</v>
      </c>
      <c r="D5" s="103" t="s">
        <v>377</v>
      </c>
      <c r="E5" s="103" t="s">
        <v>378</v>
      </c>
      <c r="F5" s="103" t="s">
        <v>379</v>
      </c>
      <c r="G5" s="103"/>
      <c r="H5" s="103"/>
      <c r="I5" s="103"/>
    </row>
    <row r="6" customFormat="false" ht="21.75" hidden="false" customHeight="true" outlineLevel="0" collapsed="false">
      <c r="B6" s="17" t="s">
        <v>380</v>
      </c>
      <c r="C6" s="104" t="n">
        <f aca="false">'Config Estimator'!K72</f>
        <v>643.356</v>
      </c>
      <c r="D6" s="105" t="n">
        <f aca="false">'Config Estimator'!I72</f>
        <v>0</v>
      </c>
      <c r="E6" s="106" t="n">
        <f aca="false">'Config Estimator'!J72</f>
        <v>0</v>
      </c>
      <c r="F6" s="107" t="s">
        <v>381</v>
      </c>
      <c r="G6" s="107"/>
      <c r="H6" s="107"/>
      <c r="I6" s="107"/>
    </row>
    <row r="7" customFormat="false" ht="21.75" hidden="false" customHeight="true" outlineLevel="0" collapsed="false">
      <c r="B7" s="20" t="s">
        <v>382</v>
      </c>
      <c r="C7" s="108" t="n">
        <f aca="false">'Custom Estimator'!L48</f>
        <v>748.328</v>
      </c>
      <c r="D7" s="109" t="n">
        <f aca="false">'Custom Estimator'!I48</f>
        <v>0</v>
      </c>
      <c r="E7" s="110" t="n">
        <f aca="false">'Custom Estimator'!J48+('Custom Estimator'!K48)</f>
        <v>0</v>
      </c>
      <c r="F7" s="111" t="s">
        <v>383</v>
      </c>
      <c r="G7" s="111"/>
      <c r="H7" s="111"/>
      <c r="I7" s="111"/>
    </row>
    <row r="8" customFormat="false" ht="21.75" hidden="false" customHeight="true" outlineLevel="0" collapsed="false">
      <c r="B8" s="23" t="s">
        <v>384</v>
      </c>
      <c r="C8" s="112" t="n">
        <f aca="false">'Data Migration Est.'!M37</f>
        <v>655.0975</v>
      </c>
      <c r="D8" s="113" t="n">
        <f aca="false">'Data Migration Est.'!L37</f>
        <v>0</v>
      </c>
      <c r="E8" s="100" t="n">
        <f aca="false">'Data Migration Est.'!K37</f>
        <v>0</v>
      </c>
      <c r="F8" s="114" t="s">
        <v>385</v>
      </c>
      <c r="G8" s="114"/>
      <c r="H8" s="114"/>
      <c r="I8" s="114"/>
    </row>
    <row r="9" customFormat="false" ht="25.5" hidden="false" customHeight="true" outlineLevel="0" collapsed="false">
      <c r="B9" s="115" t="s">
        <v>386</v>
      </c>
      <c r="C9" s="116" t="n">
        <f aca="false">C6+C7+C8</f>
        <v>2046.7815</v>
      </c>
      <c r="D9" s="117" t="n">
        <f aca="false">D6+D7+D8</f>
        <v>0</v>
      </c>
      <c r="E9" s="117" t="n">
        <f aca="false">E6+E7+E8</f>
        <v>0</v>
      </c>
    </row>
    <row r="11" customFormat="false" ht="24" hidden="false" customHeight="true" outlineLevel="0" collapsed="false">
      <c r="B11" s="10" t="s">
        <v>387</v>
      </c>
      <c r="C11" s="10"/>
      <c r="D11" s="10"/>
      <c r="E11" s="10"/>
      <c r="F11" s="10"/>
      <c r="G11" s="10"/>
      <c r="H11" s="10"/>
      <c r="I11" s="10"/>
    </row>
    <row r="12" customFormat="false" ht="36" hidden="false" customHeight="true" outlineLevel="0" collapsed="false">
      <c r="B12" s="29" t="s">
        <v>388</v>
      </c>
      <c r="C12" s="29" t="s">
        <v>389</v>
      </c>
      <c r="D12" s="29" t="s">
        <v>390</v>
      </c>
      <c r="E12" s="29" t="s">
        <v>391</v>
      </c>
      <c r="F12" s="29" t="s">
        <v>392</v>
      </c>
      <c r="G12" s="29" t="s">
        <v>393</v>
      </c>
      <c r="H12" s="29" t="s">
        <v>394</v>
      </c>
      <c r="I12" s="29" t="s">
        <v>395</v>
      </c>
    </row>
    <row r="13" customFormat="false" ht="24" hidden="false" customHeight="true" outlineLevel="0" collapsed="false">
      <c r="B13" s="49" t="s">
        <v>396</v>
      </c>
      <c r="C13" s="105" t="n">
        <f aca="false">0.03*C6</f>
        <v>19.30068</v>
      </c>
      <c r="D13" s="118" t="n">
        <f aca="false">0.02*C7</f>
        <v>14.96656</v>
      </c>
      <c r="E13" s="106" t="n">
        <f aca="false">0.05*C8</f>
        <v>32.754875</v>
      </c>
      <c r="F13" s="104" t="n">
        <f aca="false">C13+D13+E13</f>
        <v>67.022115</v>
      </c>
      <c r="G13" s="119" t="n">
        <f aca="false">IFERROR(F13/C9,0)</f>
        <v>0.0327451244795793</v>
      </c>
      <c r="H13" s="120" t="n">
        <f aca="false">(5/100)*18*4.3</f>
        <v>3.87</v>
      </c>
      <c r="I13" s="121" t="n">
        <f aca="false">IFERROR(F13/(H13*Assumptions!C2),0)</f>
        <v>0</v>
      </c>
    </row>
    <row r="14" customFormat="false" ht="24" hidden="false" customHeight="true" outlineLevel="0" collapsed="false">
      <c r="B14" s="122" t="s">
        <v>397</v>
      </c>
      <c r="C14" s="109" t="n">
        <f aca="false">0.12*C6</f>
        <v>77.20272</v>
      </c>
      <c r="D14" s="85" t="n">
        <f aca="false">0.05*C7</f>
        <v>37.4164</v>
      </c>
      <c r="E14" s="110" t="n">
        <f aca="false">0.15*C8</f>
        <v>98.264625</v>
      </c>
      <c r="F14" s="108" t="n">
        <f aca="false">C14+D14+E14</f>
        <v>212.883745</v>
      </c>
      <c r="G14" s="123" t="n">
        <f aca="false">IFERROR(F14/C9,0)</f>
        <v>0.104009023435086</v>
      </c>
      <c r="H14" s="124" t="n">
        <f aca="false">(12/100)*18*4.3</f>
        <v>9.288</v>
      </c>
      <c r="I14" s="125" t="n">
        <f aca="false">IFERROR(F14/(H14*Assumptions!C2),0)</f>
        <v>0</v>
      </c>
    </row>
    <row r="15" customFormat="false" ht="24" hidden="false" customHeight="true" outlineLevel="0" collapsed="false">
      <c r="B15" s="126" t="s">
        <v>398</v>
      </c>
      <c r="C15" s="113" t="n">
        <f aca="false">0.18*C6</f>
        <v>115.80408</v>
      </c>
      <c r="D15" s="127" t="n">
        <f aca="false">0.15*C7</f>
        <v>112.2492</v>
      </c>
      <c r="E15" s="100" t="n">
        <f aca="false">0.1*C8</f>
        <v>65.50975</v>
      </c>
      <c r="F15" s="112" t="n">
        <f aca="false">C15+D15+E15</f>
        <v>293.56303</v>
      </c>
      <c r="G15" s="128" t="n">
        <f aca="false">IFERROR(F15/C9,0)</f>
        <v>0.143426657901686</v>
      </c>
      <c r="H15" s="129" t="n">
        <f aca="false">(18/100)*18*4.3</f>
        <v>13.932</v>
      </c>
      <c r="I15" s="130" t="n">
        <f aca="false">IFERROR(F15/(H15*Assumptions!C2),0)</f>
        <v>0</v>
      </c>
    </row>
    <row r="16" customFormat="false" ht="24" hidden="false" customHeight="true" outlineLevel="0" collapsed="false">
      <c r="B16" s="53" t="s">
        <v>399</v>
      </c>
      <c r="C16" s="131" t="n">
        <f aca="false">0.4*C6</f>
        <v>257.3424</v>
      </c>
      <c r="D16" s="132" t="n">
        <f aca="false">0.45*C7</f>
        <v>336.7476</v>
      </c>
      <c r="E16" s="133" t="n">
        <f aca="false">0.25*C8</f>
        <v>163.774375</v>
      </c>
      <c r="F16" s="134" t="n">
        <f aca="false">C16+D16+E16</f>
        <v>757.864375</v>
      </c>
      <c r="G16" s="135" t="n">
        <f aca="false">IFERROR(F16/C9,0)</f>
        <v>0.370271264910299</v>
      </c>
      <c r="H16" s="136" t="n">
        <f aca="false">(28/100)*18*4.3</f>
        <v>21.672</v>
      </c>
      <c r="I16" s="137" t="n">
        <f aca="false">IFERROR(F16/(H16*Assumptions!C2),0)</f>
        <v>0</v>
      </c>
    </row>
    <row r="17" customFormat="false" ht="24" hidden="false" customHeight="true" outlineLevel="0" collapsed="false">
      <c r="B17" s="57" t="s">
        <v>400</v>
      </c>
      <c r="C17" s="138" t="n">
        <f aca="false">0.1*C6</f>
        <v>64.3356</v>
      </c>
      <c r="D17" s="139" t="n">
        <f aca="false">0.18*C7</f>
        <v>134.69904</v>
      </c>
      <c r="E17" s="140" t="n">
        <f aca="false">0.05*C8</f>
        <v>32.754875</v>
      </c>
      <c r="F17" s="141" t="n">
        <f aca="false">C17+D17+E17</f>
        <v>231.789515</v>
      </c>
      <c r="G17" s="142" t="n">
        <f aca="false">IFERROR(F17/C9,0)</f>
        <v>0.113245852085335</v>
      </c>
      <c r="H17" s="143" t="n">
        <f aca="false">(12/100)*18*4.3</f>
        <v>9.288</v>
      </c>
      <c r="I17" s="144" t="n">
        <f aca="false">IFERROR(F17/(H17*Assumptions!C2),0)</f>
        <v>0</v>
      </c>
    </row>
    <row r="18" customFormat="false" ht="24" hidden="false" customHeight="true" outlineLevel="0" collapsed="false">
      <c r="B18" s="44" t="s">
        <v>401</v>
      </c>
      <c r="C18" s="145" t="n">
        <f aca="false">0.08*C6</f>
        <v>51.46848</v>
      </c>
      <c r="D18" s="146" t="n">
        <f aca="false">0.1*C7</f>
        <v>74.8328</v>
      </c>
      <c r="E18" s="147" t="n">
        <f aca="false">0.05*C8</f>
        <v>32.754875</v>
      </c>
      <c r="F18" s="86" t="n">
        <f aca="false">C18+D18+E18</f>
        <v>159.056155</v>
      </c>
      <c r="G18" s="148" t="n">
        <f aca="false">IFERROR(F18/C9,0)</f>
        <v>0.0777103735792023</v>
      </c>
      <c r="H18" s="149" t="n">
        <f aca="false">(8/100)*18*4.3</f>
        <v>6.192</v>
      </c>
      <c r="I18" s="150" t="n">
        <f aca="false">IFERROR(F18/(H18*Assumptions!C2),0)</f>
        <v>0</v>
      </c>
    </row>
    <row r="19" customFormat="false" ht="24" hidden="false" customHeight="true" outlineLevel="0" collapsed="false">
      <c r="B19" s="126" t="s">
        <v>402</v>
      </c>
      <c r="C19" s="113" t="n">
        <f aca="false">0*C6</f>
        <v>0</v>
      </c>
      <c r="D19" s="127" t="n">
        <f aca="false">0*C7</f>
        <v>0</v>
      </c>
      <c r="E19" s="100" t="n">
        <f aca="false">0.25*C8</f>
        <v>163.774375</v>
      </c>
      <c r="F19" s="112" t="n">
        <f aca="false">C19+D19+E19</f>
        <v>163.774375</v>
      </c>
      <c r="G19" s="128" t="n">
        <f aca="false">IFERROR(F19/C9,0)</f>
        <v>0.0800155634590209</v>
      </c>
      <c r="H19" s="129" t="n">
        <f aca="false">(8/100)*18*4.3</f>
        <v>6.192</v>
      </c>
      <c r="I19" s="130" t="n">
        <f aca="false">IFERROR(F19/(H19*Assumptions!C2),0)</f>
        <v>0</v>
      </c>
    </row>
    <row r="20" customFormat="false" ht="24" hidden="false" customHeight="true" outlineLevel="0" collapsed="false">
      <c r="B20" s="122" t="s">
        <v>403</v>
      </c>
      <c r="C20" s="109" t="n">
        <f aca="false">0.04*C6</f>
        <v>25.73424</v>
      </c>
      <c r="D20" s="85" t="n">
        <f aca="false">0.02*C7</f>
        <v>14.96656</v>
      </c>
      <c r="E20" s="110" t="n">
        <f aca="false">0.03*C8</f>
        <v>19.652925</v>
      </c>
      <c r="F20" s="108" t="n">
        <f aca="false">C20+D20+E20</f>
        <v>60.353725</v>
      </c>
      <c r="G20" s="123" t="n">
        <f aca="false">IFERROR(F20/C9,0)</f>
        <v>0.0294871362673544</v>
      </c>
      <c r="H20" s="124" t="n">
        <f aca="false">(5/100)*18*4.3</f>
        <v>3.87</v>
      </c>
      <c r="I20" s="125" t="n">
        <f aca="false">IFERROR(F20/(H20*Assumptions!C2),0)</f>
        <v>0</v>
      </c>
    </row>
    <row r="21" customFormat="false" ht="24" hidden="false" customHeight="true" outlineLevel="0" collapsed="false">
      <c r="B21" s="53" t="s">
        <v>404</v>
      </c>
      <c r="C21" s="131" t="n">
        <f aca="false">0.03*C6</f>
        <v>19.30068</v>
      </c>
      <c r="D21" s="132" t="n">
        <f aca="false">0.02*C7</f>
        <v>14.96656</v>
      </c>
      <c r="E21" s="133" t="n">
        <f aca="false">0.05*C8</f>
        <v>32.754875</v>
      </c>
      <c r="F21" s="134" t="n">
        <f aca="false">C21+D21+E21</f>
        <v>67.022115</v>
      </c>
      <c r="G21" s="135" t="n">
        <f aca="false">IFERROR(F21/C9,0)</f>
        <v>0.0327451244795793</v>
      </c>
      <c r="H21" s="136" t="n">
        <f aca="false">(2/100)*18*4.3</f>
        <v>1.548</v>
      </c>
      <c r="I21" s="137" t="n">
        <f aca="false">IFERROR(F21/(H21*Assumptions!C2),0)</f>
        <v>0</v>
      </c>
    </row>
    <row r="22" customFormat="false" ht="24" hidden="false" customHeight="true" outlineLevel="0" collapsed="false">
      <c r="B22" s="11" t="s">
        <v>405</v>
      </c>
      <c r="C22" s="151" t="n">
        <f aca="false">0.02*C6</f>
        <v>12.86712</v>
      </c>
      <c r="D22" s="152" t="n">
        <f aca="false">0.01*C7</f>
        <v>7.48328</v>
      </c>
      <c r="E22" s="153" t="n">
        <f aca="false">0.02*C8</f>
        <v>13.10195</v>
      </c>
      <c r="F22" s="154" t="n">
        <f aca="false">C22+D22+E22</f>
        <v>33.45235</v>
      </c>
      <c r="G22" s="155" t="n">
        <f aca="false">IFERROR(F22/C9,0)</f>
        <v>0.0163438794028576</v>
      </c>
      <c r="H22" s="156" t="n">
        <f aca="false">(2/100)*18*4.3</f>
        <v>1.548</v>
      </c>
      <c r="I22" s="157" t="n">
        <f aca="false">IFERROR(F22/(H22*Assumptions!C2),0)</f>
        <v>0</v>
      </c>
    </row>
    <row r="23" customFormat="false" ht="25.5" hidden="false" customHeight="true" outlineLevel="0" collapsed="false">
      <c r="B23" s="115" t="s">
        <v>406</v>
      </c>
      <c r="C23" s="116" t="n">
        <f aca="false">SUM(C13:C22)</f>
        <v>643.356</v>
      </c>
      <c r="D23" s="116" t="n">
        <f aca="false">SUM(D13:D22)</f>
        <v>748.328</v>
      </c>
      <c r="E23" s="116" t="n">
        <f aca="false">SUM(E13:E22)</f>
        <v>655.0975</v>
      </c>
      <c r="F23" s="116" t="n">
        <f aca="false">SUM(F13:F22)</f>
        <v>2046.7815</v>
      </c>
    </row>
    <row r="25" customFormat="false" ht="24" hidden="false" customHeight="true" outlineLevel="0" collapsed="false">
      <c r="B25" s="10" t="s">
        <v>407</v>
      </c>
      <c r="C25" s="10"/>
      <c r="D25" s="10"/>
      <c r="E25" s="10"/>
      <c r="F25" s="10"/>
      <c r="G25" s="10"/>
      <c r="H25" s="10"/>
      <c r="I25" s="10"/>
    </row>
    <row r="26" customFormat="false" ht="15" hidden="false" customHeight="true" outlineLevel="0" collapsed="false">
      <c r="B26" s="158" t="s">
        <v>408</v>
      </c>
      <c r="C26" s="158" t="s">
        <v>409</v>
      </c>
      <c r="D26" s="158" t="s">
        <v>410</v>
      </c>
      <c r="E26" s="158" t="s">
        <v>411</v>
      </c>
      <c r="F26" s="158" t="s">
        <v>412</v>
      </c>
      <c r="G26" s="159" t="s">
        <v>413</v>
      </c>
      <c r="H26" s="159"/>
      <c r="I26" s="159"/>
    </row>
    <row r="27" customFormat="false" ht="21.75" hidden="false" customHeight="true" outlineLevel="0" collapsed="false">
      <c r="B27" s="80" t="s">
        <v>396</v>
      </c>
      <c r="C27" s="160" t="s">
        <v>414</v>
      </c>
      <c r="D27" s="40" t="s">
        <v>84</v>
      </c>
      <c r="E27" s="161" t="s">
        <v>415</v>
      </c>
      <c r="F27" s="162" t="s">
        <v>87</v>
      </c>
      <c r="G27" s="163" t="s">
        <v>416</v>
      </c>
      <c r="H27" s="163"/>
      <c r="I27" s="163"/>
    </row>
    <row r="28" customFormat="false" ht="21.75" hidden="false" customHeight="true" outlineLevel="0" collapsed="false">
      <c r="B28" s="41" t="s">
        <v>397</v>
      </c>
      <c r="C28" s="42" t="s">
        <v>417</v>
      </c>
      <c r="D28" s="40" t="s">
        <v>89</v>
      </c>
      <c r="E28" s="161" t="s">
        <v>87</v>
      </c>
      <c r="F28" s="162" t="s">
        <v>418</v>
      </c>
      <c r="G28" s="164" t="s">
        <v>419</v>
      </c>
      <c r="H28" s="164"/>
      <c r="I28" s="164"/>
    </row>
    <row r="29" customFormat="false" ht="21.75" hidden="false" customHeight="true" outlineLevel="0" collapsed="false">
      <c r="B29" s="80" t="s">
        <v>398</v>
      </c>
      <c r="C29" s="160" t="s">
        <v>420</v>
      </c>
      <c r="D29" s="40" t="s">
        <v>97</v>
      </c>
      <c r="E29" s="161" t="s">
        <v>418</v>
      </c>
      <c r="F29" s="162" t="s">
        <v>421</v>
      </c>
      <c r="G29" s="163" t="s">
        <v>422</v>
      </c>
      <c r="H29" s="163"/>
      <c r="I29" s="163"/>
    </row>
    <row r="30" customFormat="false" ht="21.75" hidden="false" customHeight="true" outlineLevel="0" collapsed="false">
      <c r="B30" s="41" t="s">
        <v>399</v>
      </c>
      <c r="C30" s="42" t="s">
        <v>423</v>
      </c>
      <c r="D30" s="40" t="s">
        <v>424</v>
      </c>
      <c r="E30" s="161" t="s">
        <v>425</v>
      </c>
      <c r="F30" s="162" t="s">
        <v>426</v>
      </c>
      <c r="G30" s="164" t="s">
        <v>427</v>
      </c>
      <c r="H30" s="164"/>
      <c r="I30" s="164"/>
    </row>
    <row r="31" customFormat="false" ht="21.75" hidden="false" customHeight="true" outlineLevel="0" collapsed="false">
      <c r="B31" s="80" t="s">
        <v>400</v>
      </c>
      <c r="C31" s="160" t="s">
        <v>423</v>
      </c>
      <c r="D31" s="40" t="s">
        <v>421</v>
      </c>
      <c r="E31" s="161" t="s">
        <v>97</v>
      </c>
      <c r="F31" s="162" t="s">
        <v>87</v>
      </c>
      <c r="G31" s="163" t="s">
        <v>428</v>
      </c>
      <c r="H31" s="163"/>
      <c r="I31" s="163"/>
    </row>
    <row r="32" customFormat="false" ht="21.75" hidden="false" customHeight="true" outlineLevel="0" collapsed="false">
      <c r="B32" s="41" t="s">
        <v>401</v>
      </c>
      <c r="C32" s="42" t="s">
        <v>429</v>
      </c>
      <c r="D32" s="40" t="s">
        <v>91</v>
      </c>
      <c r="E32" s="161" t="s">
        <v>421</v>
      </c>
      <c r="F32" s="162" t="s">
        <v>87</v>
      </c>
      <c r="G32" s="164" t="s">
        <v>430</v>
      </c>
      <c r="H32" s="164"/>
      <c r="I32" s="164"/>
    </row>
    <row r="33" customFormat="false" ht="21.75" hidden="false" customHeight="true" outlineLevel="0" collapsed="false">
      <c r="B33" s="80" t="s">
        <v>402</v>
      </c>
      <c r="C33" s="160" t="s">
        <v>429</v>
      </c>
      <c r="D33" s="40" t="s">
        <v>431</v>
      </c>
      <c r="E33" s="161" t="s">
        <v>431</v>
      </c>
      <c r="F33" s="162" t="s">
        <v>426</v>
      </c>
      <c r="G33" s="163" t="s">
        <v>432</v>
      </c>
      <c r="H33" s="163"/>
      <c r="I33" s="163"/>
    </row>
    <row r="34" customFormat="false" ht="21.75" hidden="false" customHeight="true" outlineLevel="0" collapsed="false">
      <c r="B34" s="41" t="s">
        <v>403</v>
      </c>
      <c r="C34" s="42" t="s">
        <v>429</v>
      </c>
      <c r="D34" s="40" t="s">
        <v>104</v>
      </c>
      <c r="E34" s="161" t="s">
        <v>415</v>
      </c>
      <c r="F34" s="162" t="s">
        <v>84</v>
      </c>
      <c r="G34" s="164" t="s">
        <v>433</v>
      </c>
      <c r="H34" s="164"/>
      <c r="I34" s="164"/>
    </row>
    <row r="35" customFormat="false" ht="21.75" hidden="false" customHeight="true" outlineLevel="0" collapsed="false">
      <c r="B35" s="80" t="s">
        <v>404</v>
      </c>
      <c r="C35" s="160" t="s">
        <v>434</v>
      </c>
      <c r="D35" s="40" t="s">
        <v>84</v>
      </c>
      <c r="E35" s="161" t="s">
        <v>415</v>
      </c>
      <c r="F35" s="162" t="s">
        <v>87</v>
      </c>
      <c r="G35" s="163" t="s">
        <v>435</v>
      </c>
      <c r="H35" s="163"/>
      <c r="I35" s="163"/>
    </row>
    <row r="36" customFormat="false" ht="21.75" hidden="false" customHeight="true" outlineLevel="0" collapsed="false">
      <c r="B36" s="41" t="s">
        <v>405</v>
      </c>
      <c r="C36" s="42" t="s">
        <v>434</v>
      </c>
      <c r="D36" s="40" t="s">
        <v>415</v>
      </c>
      <c r="E36" s="161" t="s">
        <v>436</v>
      </c>
      <c r="F36" s="162" t="s">
        <v>415</v>
      </c>
      <c r="G36" s="164" t="s">
        <v>437</v>
      </c>
      <c r="H36" s="164"/>
      <c r="I36" s="164"/>
    </row>
  </sheetData>
  <mergeCells count="20">
    <mergeCell ref="B1:I1"/>
    <mergeCell ref="B2:I2"/>
    <mergeCell ref="B4:I4"/>
    <mergeCell ref="F5:I5"/>
    <mergeCell ref="F6:I6"/>
    <mergeCell ref="F7:I7"/>
    <mergeCell ref="F8:I8"/>
    <mergeCell ref="B11:I11"/>
    <mergeCell ref="B25:I25"/>
    <mergeCell ref="G26:I26"/>
    <mergeCell ref="G27:I27"/>
    <mergeCell ref="G28:I28"/>
    <mergeCell ref="G29:I29"/>
    <mergeCell ref="G30:I30"/>
    <mergeCell ref="G31:I31"/>
    <mergeCell ref="G32:I32"/>
    <mergeCell ref="G33:I33"/>
    <mergeCell ref="G34:I34"/>
    <mergeCell ref="G35:I35"/>
    <mergeCell ref="G36:I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8" min="3" style="1" width="14"/>
    <col collapsed="false" customWidth="true" hidden="false" outlineLevel="0" max="9" min="9" style="1" width="18"/>
  </cols>
  <sheetData>
    <row r="1" customFormat="false" ht="48" hidden="false" customHeight="true" outlineLevel="0" collapsed="false">
      <c r="B1" s="2" t="s">
        <v>438</v>
      </c>
      <c r="C1" s="2"/>
      <c r="D1" s="2"/>
      <c r="E1" s="2"/>
      <c r="F1" s="2"/>
      <c r="G1" s="2"/>
      <c r="H1" s="2"/>
      <c r="I1" s="2"/>
    </row>
    <row r="2" customFormat="false" ht="21.75" hidden="false" customHeight="true" outlineLevel="0" collapsed="false">
      <c r="B2" s="3" t="s">
        <v>439</v>
      </c>
      <c r="C2" s="3"/>
      <c r="D2" s="3"/>
      <c r="E2" s="3"/>
      <c r="F2" s="3"/>
      <c r="G2" s="3"/>
      <c r="H2" s="3"/>
      <c r="I2" s="3"/>
    </row>
    <row r="4" customFormat="false" ht="24" hidden="false" customHeight="true" outlineLevel="0" collapsed="false">
      <c r="B4" s="10" t="s">
        <v>440</v>
      </c>
      <c r="C4" s="10"/>
      <c r="D4" s="10"/>
      <c r="E4" s="10"/>
      <c r="F4" s="10"/>
      <c r="G4" s="10"/>
      <c r="H4" s="10"/>
      <c r="I4" s="10"/>
    </row>
    <row r="5" customFormat="false" ht="36" hidden="false" customHeight="true" outlineLevel="0" collapsed="false">
      <c r="B5" s="29" t="s">
        <v>76</v>
      </c>
      <c r="C5" s="29" t="s">
        <v>441</v>
      </c>
      <c r="D5" s="29" t="s">
        <v>442</v>
      </c>
      <c r="E5" s="29" t="s">
        <v>443</v>
      </c>
      <c r="F5" s="29" t="s">
        <v>444</v>
      </c>
      <c r="G5" s="29" t="s">
        <v>445</v>
      </c>
      <c r="H5" s="29" t="s">
        <v>446</v>
      </c>
      <c r="I5" s="29" t="s">
        <v>447</v>
      </c>
    </row>
    <row r="6" customFormat="false" ht="21.75" hidden="false" customHeight="true" outlineLevel="0" collapsed="false">
      <c r="B6" s="80" t="s">
        <v>82</v>
      </c>
      <c r="C6" s="105" t="n">
        <f aca="false">0.02*'Config Estimator'!K72</f>
        <v>12.86712</v>
      </c>
      <c r="D6" s="85" t="n">
        <f aca="false">0.01*'Custom Estimator'!L48</f>
        <v>7.48328</v>
      </c>
      <c r="E6" s="100" t="n">
        <f aca="false">0.01*'Data Migration Est.'!M37</f>
        <v>6.550975</v>
      </c>
      <c r="F6" s="86" t="n">
        <f aca="false">C6+D6+E6</f>
        <v>26.901375</v>
      </c>
      <c r="G6" s="155" t="n">
        <f aca="false">IFERROR(F6/F21,0)</f>
        <v>0.0130182572815007</v>
      </c>
      <c r="H6" s="165" t="n">
        <f aca="false">IFERROR(F6/(18*Assumptions!C2),0)</f>
        <v>0</v>
      </c>
      <c r="I6" s="137" t="n">
        <f aca="false">IFERROR(CEILING(H6*2,0.5),0)</f>
        <v>0</v>
      </c>
    </row>
    <row r="7" customFormat="false" ht="21.75" hidden="false" customHeight="true" outlineLevel="0" collapsed="false">
      <c r="B7" s="41" t="s">
        <v>85</v>
      </c>
      <c r="C7" s="105" t="n">
        <f aca="false">0.05*'Config Estimator'!K72</f>
        <v>32.1678</v>
      </c>
      <c r="D7" s="85" t="n">
        <f aca="false">0.06*'Custom Estimator'!L48</f>
        <v>44.89968</v>
      </c>
      <c r="E7" s="100" t="n">
        <f aca="false">0.03*'Data Migration Est.'!M37</f>
        <v>19.652925</v>
      </c>
      <c r="F7" s="86" t="n">
        <f aca="false">C7+D7+E7</f>
        <v>96.720405</v>
      </c>
      <c r="G7" s="166" t="n">
        <f aca="false">IFERROR(F7/F21,0)</f>
        <v>0.0468054557308297</v>
      </c>
      <c r="H7" s="165" t="n">
        <f aca="false">IFERROR(F7/(18*Assumptions!C2),0)</f>
        <v>0</v>
      </c>
      <c r="I7" s="137" t="n">
        <f aca="false">IFERROR(CEILING(H7*2,0.5),0)</f>
        <v>0</v>
      </c>
    </row>
    <row r="8" customFormat="false" ht="21.75" hidden="false" customHeight="true" outlineLevel="0" collapsed="false">
      <c r="B8" s="80" t="s">
        <v>448</v>
      </c>
      <c r="C8" s="105" t="n">
        <f aca="false">0.12*'Config Estimator'!K72</f>
        <v>77.20272</v>
      </c>
      <c r="D8" s="85" t="n">
        <f aca="false">0.01*'Custom Estimator'!L48</f>
        <v>7.48328</v>
      </c>
      <c r="E8" s="100" t="n">
        <f aca="false">0.04*'Data Migration Est.'!M37</f>
        <v>26.2039</v>
      </c>
      <c r="F8" s="86" t="n">
        <f aca="false">C8+D8+E8</f>
        <v>110.8899</v>
      </c>
      <c r="G8" s="155" t="n">
        <f aca="false">IFERROR(F8/F21,0)</f>
        <v>0.0536624335417757</v>
      </c>
      <c r="H8" s="165" t="n">
        <f aca="false">IFERROR(F8/(18*Assumptions!C2),0)</f>
        <v>0</v>
      </c>
      <c r="I8" s="137" t="n">
        <f aca="false">IFERROR(CEILING(H8*2,0.5),0)</f>
        <v>0</v>
      </c>
    </row>
    <row r="9" customFormat="false" ht="21.75" hidden="false" customHeight="true" outlineLevel="0" collapsed="false">
      <c r="B9" s="41" t="s">
        <v>449</v>
      </c>
      <c r="C9" s="105" t="n">
        <f aca="false">0.11*'Config Estimator'!K72</f>
        <v>70.76916</v>
      </c>
      <c r="D9" s="85" t="n">
        <f aca="false">0.01*'Custom Estimator'!L48</f>
        <v>7.48328</v>
      </c>
      <c r="E9" s="100" t="n">
        <f aca="false">0.06*'Data Migration Est.'!M37</f>
        <v>39.30585</v>
      </c>
      <c r="F9" s="86" t="n">
        <f aca="false">C9+D9+E9</f>
        <v>117.55829</v>
      </c>
      <c r="G9" s="166" t="n">
        <f aca="false">IFERROR(F9/F21,0)</f>
        <v>0.0568894364988136</v>
      </c>
      <c r="H9" s="165" t="n">
        <f aca="false">IFERROR(F9/(18*Assumptions!C2),0)</f>
        <v>0</v>
      </c>
      <c r="I9" s="137" t="n">
        <f aca="false">IFERROR(CEILING(H9*2,0.5),0)</f>
        <v>0</v>
      </c>
    </row>
    <row r="10" customFormat="false" ht="21.75" hidden="false" customHeight="true" outlineLevel="0" collapsed="false">
      <c r="B10" s="80" t="s">
        <v>450</v>
      </c>
      <c r="C10" s="105" t="n">
        <f aca="false">0.1*'Config Estimator'!K72</f>
        <v>64.3356</v>
      </c>
      <c r="D10" s="85" t="n">
        <f aca="false">0.01*'Custom Estimator'!L48</f>
        <v>7.48328</v>
      </c>
      <c r="E10" s="100" t="n">
        <f aca="false">0.06*'Data Migration Est.'!M37</f>
        <v>39.30585</v>
      </c>
      <c r="F10" s="86" t="n">
        <f aca="false">C10+D10+E10</f>
        <v>111.12473</v>
      </c>
      <c r="G10" s="155" t="n">
        <f aca="false">IFERROR(F10/F21,0)</f>
        <v>0.0537760737314469</v>
      </c>
      <c r="H10" s="165" t="n">
        <f aca="false">IFERROR(F10/(18*Assumptions!C2),0)</f>
        <v>0</v>
      </c>
      <c r="I10" s="137" t="n">
        <f aca="false">IFERROR(CEILING(H10*2,0.5),0)</f>
        <v>0</v>
      </c>
    </row>
    <row r="11" customFormat="false" ht="21.75" hidden="false" customHeight="true" outlineLevel="0" collapsed="false">
      <c r="B11" s="41" t="s">
        <v>451</v>
      </c>
      <c r="C11" s="105" t="n">
        <f aca="false">0.03*'Config Estimator'!K72</f>
        <v>19.30068</v>
      </c>
      <c r="D11" s="85" t="n">
        <f aca="false">0.22*'Custom Estimator'!L48</f>
        <v>164.63216</v>
      </c>
      <c r="E11" s="100" t="n">
        <f aca="false">0.05*'Data Migration Est.'!M37</f>
        <v>32.754875</v>
      </c>
      <c r="F11" s="86" t="n">
        <f aca="false">C11+D11+E11</f>
        <v>216.687715</v>
      </c>
      <c r="G11" s="166" t="n">
        <f aca="false">IFERROR(F11/F21,0)</f>
        <v>0.104860678073537</v>
      </c>
      <c r="H11" s="165" t="n">
        <f aca="false">IFERROR(F11/(18*Assumptions!C2),0)</f>
        <v>0</v>
      </c>
      <c r="I11" s="137" t="n">
        <f aca="false">IFERROR(CEILING(H11*2,0.5),0)</f>
        <v>0</v>
      </c>
    </row>
    <row r="12" customFormat="false" ht="21.75" hidden="false" customHeight="true" outlineLevel="0" collapsed="false">
      <c r="B12" s="80" t="s">
        <v>92</v>
      </c>
      <c r="C12" s="105" t="n">
        <f aca="false">0.2*'Config Estimator'!K72</f>
        <v>128.6712</v>
      </c>
      <c r="D12" s="85" t="n">
        <f aca="false">0.02*'Custom Estimator'!L48</f>
        <v>14.96656</v>
      </c>
      <c r="E12" s="100" t="n">
        <f aca="false">0.08*'Data Migration Est.'!M37</f>
        <v>52.4078</v>
      </c>
      <c r="F12" s="86" t="n">
        <f aca="false">C12+D12+E12</f>
        <v>196.04556</v>
      </c>
      <c r="G12" s="155" t="n">
        <f aca="false">IFERROR(F12/F21,0)</f>
        <v>0.0948714160140843</v>
      </c>
      <c r="H12" s="165" t="n">
        <f aca="false">IFERROR(F12/(18*Assumptions!C2),0)</f>
        <v>0</v>
      </c>
      <c r="I12" s="137" t="n">
        <f aca="false">IFERROR(CEILING(H12*2,0.5),0)</f>
        <v>0</v>
      </c>
    </row>
    <row r="13" customFormat="false" ht="21.75" hidden="false" customHeight="true" outlineLevel="0" collapsed="false">
      <c r="B13" s="41" t="s">
        <v>95</v>
      </c>
      <c r="C13" s="105" t="n">
        <f aca="false">0.18*'Config Estimator'!K72</f>
        <v>115.80408</v>
      </c>
      <c r="D13" s="85" t="n">
        <f aca="false">0.02*'Custom Estimator'!L48</f>
        <v>14.96656</v>
      </c>
      <c r="E13" s="100" t="n">
        <f aca="false">0.06*'Data Migration Est.'!M37</f>
        <v>39.30585</v>
      </c>
      <c r="F13" s="86" t="n">
        <f aca="false">C13+D13+E13</f>
        <v>170.07649</v>
      </c>
      <c r="G13" s="166" t="n">
        <f aca="false">IFERROR(F13/F21,0)</f>
        <v>0.0823043247549459</v>
      </c>
      <c r="H13" s="165" t="n">
        <f aca="false">IFERROR(F13/(18*Assumptions!C2),0)</f>
        <v>0</v>
      </c>
      <c r="I13" s="137" t="n">
        <f aca="false">IFERROR(CEILING(H13*2,0.5),0)</f>
        <v>0</v>
      </c>
    </row>
    <row r="14" customFormat="false" ht="21.75" hidden="false" customHeight="true" outlineLevel="0" collapsed="false">
      <c r="B14" s="80" t="s">
        <v>452</v>
      </c>
      <c r="C14" s="105" t="n">
        <f aca="false">0.02*'Config Estimator'!K72</f>
        <v>12.86712</v>
      </c>
      <c r="D14" s="85" t="n">
        <f aca="false">0.25*'Custom Estimator'!L48</f>
        <v>187.082</v>
      </c>
      <c r="E14" s="100" t="n">
        <f aca="false">0.04*'Data Migration Est.'!M37</f>
        <v>26.2039</v>
      </c>
      <c r="F14" s="86" t="n">
        <f aca="false">C14+D14+E14</f>
        <v>226.15302</v>
      </c>
      <c r="G14" s="155" t="n">
        <f aca="false">IFERROR(F14/F21,0)</f>
        <v>0.109441179097662</v>
      </c>
      <c r="H14" s="165" t="n">
        <f aca="false">IFERROR(F14/(18*Assumptions!C2),0)</f>
        <v>0</v>
      </c>
      <c r="I14" s="137" t="n">
        <f aca="false">IFERROR(CEILING(H14*2,0.5),0)</f>
        <v>0</v>
      </c>
    </row>
    <row r="15" customFormat="false" ht="21.75" hidden="false" customHeight="true" outlineLevel="0" collapsed="false">
      <c r="B15" s="41" t="s">
        <v>453</v>
      </c>
      <c r="C15" s="105" t="n">
        <f aca="false">0.01*'Config Estimator'!K72</f>
        <v>6.43356</v>
      </c>
      <c r="D15" s="85" t="n">
        <f aca="false">0.2*'Custom Estimator'!L48</f>
        <v>149.6656</v>
      </c>
      <c r="E15" s="100" t="n">
        <f aca="false">0.03*'Data Migration Est.'!M37</f>
        <v>19.652925</v>
      </c>
      <c r="F15" s="86" t="n">
        <f aca="false">C15+D15+E15</f>
        <v>175.752085</v>
      </c>
      <c r="G15" s="166" t="n">
        <f aca="false">IFERROR(F15/F21,0)</f>
        <v>0.0850508890452694</v>
      </c>
      <c r="H15" s="165" t="n">
        <f aca="false">IFERROR(F15/(18*Assumptions!C2),0)</f>
        <v>0</v>
      </c>
      <c r="I15" s="137" t="n">
        <f aca="false">IFERROR(CEILING(H15*2,0.5),0)</f>
        <v>0</v>
      </c>
    </row>
    <row r="16" customFormat="false" ht="21.75" hidden="false" customHeight="true" outlineLevel="0" collapsed="false">
      <c r="B16" s="80" t="s">
        <v>101</v>
      </c>
      <c r="C16" s="105" t="n">
        <f aca="false">0.02*'Config Estimator'!K72</f>
        <v>12.86712</v>
      </c>
      <c r="D16" s="85" t="n">
        <f aca="false">0.02*'Custom Estimator'!L48</f>
        <v>14.96656</v>
      </c>
      <c r="E16" s="100" t="n">
        <f aca="false">0.45*'Data Migration Est.'!M37</f>
        <v>294.793875</v>
      </c>
      <c r="F16" s="86" t="n">
        <f aca="false">C16+D16+E16</f>
        <v>322.627555</v>
      </c>
      <c r="G16" s="155" t="n">
        <f aca="false">IFERROR(F16/F21,0)</f>
        <v>0.15612765210297</v>
      </c>
      <c r="H16" s="165" t="n">
        <f aca="false">IFERROR(F16/(18*Assumptions!C2),0)</f>
        <v>0</v>
      </c>
      <c r="I16" s="137" t="n">
        <f aca="false">IFERROR(CEILING(H16*2,0.5),0)</f>
        <v>0</v>
      </c>
    </row>
    <row r="17" customFormat="false" ht="21.75" hidden="false" customHeight="true" outlineLevel="0" collapsed="false">
      <c r="B17" s="41" t="s">
        <v>102</v>
      </c>
      <c r="C17" s="105" t="n">
        <f aca="false">0.03*'Config Estimator'!K72</f>
        <v>19.30068</v>
      </c>
      <c r="D17" s="85" t="n">
        <f aca="false">0.01*'Custom Estimator'!L48</f>
        <v>7.48328</v>
      </c>
      <c r="E17" s="100" t="n">
        <f aca="false">0.02*'Data Migration Est.'!M37</f>
        <v>13.10195</v>
      </c>
      <c r="F17" s="86" t="n">
        <f aca="false">C17+D17+E17</f>
        <v>39.88591</v>
      </c>
      <c r="G17" s="166" t="n">
        <f aca="false">IFERROR(F17/F21,0)</f>
        <v>0.0193018029110699</v>
      </c>
      <c r="H17" s="165" t="n">
        <f aca="false">IFERROR(F17/(18*Assumptions!C2),0)</f>
        <v>0</v>
      </c>
      <c r="I17" s="137" t="n">
        <f aca="false">IFERROR(CEILING(H17*2,0.5),0)</f>
        <v>0</v>
      </c>
    </row>
    <row r="18" customFormat="false" ht="21.75" hidden="false" customHeight="true" outlineLevel="0" collapsed="false">
      <c r="B18" s="80" t="s">
        <v>103</v>
      </c>
      <c r="C18" s="105" t="n">
        <f aca="false">0.04*'Config Estimator'!K72</f>
        <v>25.73424</v>
      </c>
      <c r="D18" s="85" t="n">
        <f aca="false">0.08*'Custom Estimator'!L48</f>
        <v>59.86624</v>
      </c>
      <c r="E18" s="100" t="n">
        <f aca="false">0.05*'Data Migration Est.'!M37</f>
        <v>32.754875</v>
      </c>
      <c r="F18" s="86" t="n">
        <f aca="false">C18+D18+E18</f>
        <v>118.355355</v>
      </c>
      <c r="G18" s="155" t="n">
        <f aca="false">IFERROR(F18/F21,0)</f>
        <v>0.0572751564569972</v>
      </c>
      <c r="H18" s="165" t="n">
        <f aca="false">IFERROR(F18/(18*Assumptions!C2),0)</f>
        <v>0</v>
      </c>
      <c r="I18" s="137" t="n">
        <f aca="false">IFERROR(CEILING(H18*2,0.5),0)</f>
        <v>0</v>
      </c>
    </row>
    <row r="19" customFormat="false" ht="21.75" hidden="false" customHeight="true" outlineLevel="0" collapsed="false">
      <c r="B19" s="41" t="s">
        <v>105</v>
      </c>
      <c r="C19" s="105" t="n">
        <f aca="false">0.04*'Config Estimator'!K72</f>
        <v>25.73424</v>
      </c>
      <c r="D19" s="85" t="n">
        <f aca="false">0.03*'Custom Estimator'!L48</f>
        <v>22.44984</v>
      </c>
      <c r="E19" s="100" t="n">
        <f aca="false">0.03*'Data Migration Est.'!M37</f>
        <v>19.652925</v>
      </c>
      <c r="F19" s="86" t="n">
        <f aca="false">C19+D19+E19</f>
        <v>67.837005</v>
      </c>
      <c r="G19" s="166" t="n">
        <f aca="false">IFERROR(F19/F21,0)</f>
        <v>0.0328280463097686</v>
      </c>
      <c r="H19" s="165" t="n">
        <f aca="false">IFERROR(F19/(18*Assumptions!C2),0)</f>
        <v>0</v>
      </c>
      <c r="I19" s="137" t="n">
        <f aca="false">IFERROR(CEILING(H19*2,0.5),0)</f>
        <v>0</v>
      </c>
    </row>
    <row r="20" customFormat="false" ht="21.75" hidden="false" customHeight="true" outlineLevel="0" collapsed="false">
      <c r="B20" s="80" t="s">
        <v>454</v>
      </c>
      <c r="C20" s="105" t="n">
        <f aca="false">0.03*'Config Estimator'!K72</f>
        <v>19.30068</v>
      </c>
      <c r="D20" s="85" t="n">
        <f aca="false">0.05*'Custom Estimator'!L48</f>
        <v>37.4164</v>
      </c>
      <c r="E20" s="100" t="n">
        <f aca="false">0.02*'Data Migration Est.'!M37</f>
        <v>13.10195</v>
      </c>
      <c r="F20" s="86" t="n">
        <f aca="false">C20+D20+E20</f>
        <v>69.81903</v>
      </c>
      <c r="G20" s="155" t="n">
        <f aca="false">IFERROR(F20/F21,0)</f>
        <v>0.033787198449329</v>
      </c>
      <c r="H20" s="165" t="n">
        <f aca="false">IFERROR(F20/(18*Assumptions!C2),0)</f>
        <v>0</v>
      </c>
      <c r="I20" s="137" t="n">
        <f aca="false">IFERROR(CEILING(H20*2,0.5),0)</f>
        <v>0</v>
      </c>
    </row>
    <row r="21" customFormat="false" ht="25.5" hidden="false" customHeight="true" outlineLevel="0" collapsed="false">
      <c r="B21" s="115" t="s">
        <v>406</v>
      </c>
      <c r="C21" s="116" t="n">
        <f aca="false">SUM(C6:C20)</f>
        <v>643.356</v>
      </c>
      <c r="D21" s="116" t="n">
        <f aca="false">SUM(D6:D20)</f>
        <v>748.328</v>
      </c>
      <c r="E21" s="116" t="n">
        <f aca="false">SUM(E6:E20)</f>
        <v>674.750425</v>
      </c>
      <c r="F21" s="116" t="n">
        <f aca="false">SUM(F6:F20)</f>
        <v>2066.434425</v>
      </c>
      <c r="G21" s="167" t="s">
        <v>455</v>
      </c>
      <c r="H21" s="116" t="n">
        <f aca="false">IFERROR(SUM(H6:H20),0)</f>
        <v>0</v>
      </c>
    </row>
    <row r="23" customFormat="false" ht="24" hidden="false" customHeight="true" outlineLevel="0" collapsed="false">
      <c r="B23" s="10" t="s">
        <v>456</v>
      </c>
      <c r="C23" s="10"/>
      <c r="D23" s="10"/>
      <c r="E23" s="10"/>
      <c r="F23" s="10"/>
      <c r="G23" s="10"/>
      <c r="H23" s="10"/>
      <c r="I23" s="10"/>
    </row>
    <row r="24" customFormat="false" ht="19.5" hidden="false" customHeight="true" outlineLevel="0" collapsed="false">
      <c r="B24" s="168" t="s">
        <v>457</v>
      </c>
      <c r="C24" s="169" t="s">
        <v>458</v>
      </c>
      <c r="D24" s="169" t="s">
        <v>459</v>
      </c>
      <c r="E24" s="169" t="s">
        <v>460</v>
      </c>
      <c r="F24" s="169" t="s">
        <v>461</v>
      </c>
      <c r="G24" s="169" t="s">
        <v>462</v>
      </c>
      <c r="H24" s="169" t="s">
        <v>463</v>
      </c>
      <c r="I24" s="169" t="s">
        <v>464</v>
      </c>
    </row>
    <row r="25" customFormat="false" ht="18" hidden="false" customHeight="true" outlineLevel="0" collapsed="false">
      <c r="B25" s="170" t="s">
        <v>82</v>
      </c>
      <c r="C25" s="171" t="n">
        <v>1</v>
      </c>
      <c r="D25" s="171" t="n">
        <v>1</v>
      </c>
      <c r="E25" s="171" t="n">
        <v>1</v>
      </c>
      <c r="F25" s="171" t="n">
        <v>1</v>
      </c>
      <c r="G25" s="171" t="n">
        <v>1</v>
      </c>
      <c r="H25" s="171" t="n">
        <v>1</v>
      </c>
      <c r="I25" s="171" t="n">
        <v>1</v>
      </c>
    </row>
    <row r="26" customFormat="false" ht="18" hidden="false" customHeight="true" outlineLevel="0" collapsed="false">
      <c r="B26" s="172" t="s">
        <v>85</v>
      </c>
      <c r="C26" s="171" t="n">
        <v>1</v>
      </c>
      <c r="D26" s="28" t="n">
        <v>2</v>
      </c>
      <c r="E26" s="28" t="n">
        <v>2</v>
      </c>
      <c r="F26" s="28" t="n">
        <v>2</v>
      </c>
      <c r="G26" s="28" t="n">
        <v>2</v>
      </c>
      <c r="H26" s="171" t="n">
        <v>1</v>
      </c>
      <c r="I26" s="171" t="n">
        <v>1</v>
      </c>
    </row>
    <row r="27" customFormat="false" ht="18" hidden="false" customHeight="true" outlineLevel="0" collapsed="false">
      <c r="B27" s="170" t="s">
        <v>465</v>
      </c>
      <c r="C27" s="173"/>
      <c r="D27" s="171" t="n">
        <v>1</v>
      </c>
      <c r="E27" s="28" t="n">
        <v>2</v>
      </c>
      <c r="F27" s="28" t="n">
        <v>3</v>
      </c>
      <c r="G27" s="28" t="n">
        <v>3</v>
      </c>
      <c r="H27" s="28" t="n">
        <v>3</v>
      </c>
      <c r="I27" s="28" t="n">
        <v>2</v>
      </c>
    </row>
    <row r="28" customFormat="false" ht="18" hidden="false" customHeight="true" outlineLevel="0" collapsed="false">
      <c r="B28" s="172" t="s">
        <v>466</v>
      </c>
      <c r="C28" s="174"/>
      <c r="D28" s="171" t="n">
        <v>1</v>
      </c>
      <c r="E28" s="28" t="n">
        <v>2</v>
      </c>
      <c r="F28" s="28" t="n">
        <v>3</v>
      </c>
      <c r="G28" s="28" t="n">
        <v>4</v>
      </c>
      <c r="H28" s="28" t="n">
        <v>4</v>
      </c>
      <c r="I28" s="28" t="n">
        <v>3</v>
      </c>
    </row>
    <row r="29" customFormat="false" ht="18" hidden="false" customHeight="true" outlineLevel="0" collapsed="false">
      <c r="B29" s="170" t="s">
        <v>467</v>
      </c>
      <c r="C29" s="173"/>
      <c r="D29" s="171" t="n">
        <v>1</v>
      </c>
      <c r="E29" s="171" t="n">
        <v>1</v>
      </c>
      <c r="F29" s="28" t="n">
        <v>2</v>
      </c>
      <c r="G29" s="28" t="n">
        <v>2</v>
      </c>
      <c r="H29" s="28" t="n">
        <v>2</v>
      </c>
      <c r="I29" s="28" t="n">
        <v>2</v>
      </c>
    </row>
    <row r="30" customFormat="false" ht="18" hidden="false" customHeight="true" outlineLevel="0" collapsed="false">
      <c r="B30" s="172" t="s">
        <v>468</v>
      </c>
      <c r="C30" s="174"/>
      <c r="D30" s="174"/>
      <c r="E30" s="171" t="n">
        <v>1</v>
      </c>
      <c r="F30" s="28" t="n">
        <v>2</v>
      </c>
      <c r="G30" s="28" t="n">
        <v>2</v>
      </c>
      <c r="H30" s="28" t="n">
        <v>2</v>
      </c>
      <c r="I30" s="28" t="n">
        <v>2</v>
      </c>
    </row>
    <row r="31" customFormat="false" ht="18" hidden="false" customHeight="true" outlineLevel="0" collapsed="false">
      <c r="B31" s="170" t="s">
        <v>101</v>
      </c>
      <c r="C31" s="173"/>
      <c r="D31" s="171" t="n">
        <v>1</v>
      </c>
      <c r="E31" s="171" t="n">
        <v>1</v>
      </c>
      <c r="F31" s="171" t="n">
        <v>1</v>
      </c>
      <c r="G31" s="171" t="n">
        <v>1</v>
      </c>
      <c r="H31" s="28" t="n">
        <v>2</v>
      </c>
      <c r="I31" s="28" t="n">
        <v>2</v>
      </c>
    </row>
    <row r="32" customFormat="false" ht="18" hidden="false" customHeight="true" outlineLevel="0" collapsed="false">
      <c r="B32" s="172" t="s">
        <v>469</v>
      </c>
      <c r="C32" s="174"/>
      <c r="D32" s="174"/>
      <c r="E32" s="174"/>
      <c r="F32" s="171" t="n">
        <v>1</v>
      </c>
      <c r="G32" s="171" t="n">
        <v>1</v>
      </c>
      <c r="H32" s="171" t="n">
        <v>1</v>
      </c>
      <c r="I32" s="28" t="n">
        <v>2</v>
      </c>
    </row>
    <row r="33" customFormat="false" ht="18" hidden="false" customHeight="true" outlineLevel="0" collapsed="false">
      <c r="B33" s="170" t="s">
        <v>105</v>
      </c>
      <c r="C33" s="171" t="n">
        <v>1</v>
      </c>
      <c r="D33" s="171" t="n">
        <v>1</v>
      </c>
      <c r="E33" s="171" t="n">
        <v>1</v>
      </c>
      <c r="F33" s="171" t="n">
        <v>1</v>
      </c>
      <c r="G33" s="171" t="n">
        <v>1</v>
      </c>
      <c r="H33" s="171" t="n">
        <v>1</v>
      </c>
      <c r="I33" s="171" t="n">
        <v>1</v>
      </c>
    </row>
  </sheetData>
  <mergeCells count="4">
    <mergeCell ref="B1:I1"/>
    <mergeCell ref="B2:I2"/>
    <mergeCell ref="B4:I4"/>
    <mergeCell ref="B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74634"/>
    <pageSetUpPr fitToPage="false"/>
  </sheetPr>
  <dimension ref="B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2"/>
    <col collapsed="false" customWidth="true" hidden="false" outlineLevel="0" max="5" min="3" style="1" width="16"/>
    <col collapsed="false" customWidth="true" hidden="false" outlineLevel="0" max="8" min="6" style="1" width="18"/>
  </cols>
  <sheetData>
    <row r="1" customFormat="false" ht="48" hidden="false" customHeight="true" outlineLevel="0" collapsed="false">
      <c r="B1" s="2" t="s">
        <v>470</v>
      </c>
      <c r="C1" s="2"/>
      <c r="D1" s="2"/>
      <c r="E1" s="2"/>
      <c r="F1" s="2"/>
      <c r="G1" s="2"/>
      <c r="H1" s="2"/>
    </row>
    <row r="2" customFormat="false" ht="21.75" hidden="false" customHeight="true" outlineLevel="0" collapsed="false">
      <c r="B2" s="3" t="s">
        <v>471</v>
      </c>
      <c r="C2" s="3"/>
      <c r="D2" s="3"/>
      <c r="E2" s="3"/>
      <c r="F2" s="3"/>
      <c r="G2" s="3"/>
      <c r="H2" s="3"/>
    </row>
    <row r="4" customFormat="false" ht="24" hidden="false" customHeight="true" outlineLevel="0" collapsed="false">
      <c r="B4" s="10" t="s">
        <v>472</v>
      </c>
      <c r="C4" s="10"/>
      <c r="D4" s="10"/>
      <c r="E4" s="10"/>
      <c r="F4" s="10"/>
      <c r="G4" s="10"/>
      <c r="H4" s="10"/>
    </row>
    <row r="5" customFormat="false" ht="31.5" hidden="false" customHeight="true" outlineLevel="0" collapsed="false">
      <c r="B5" s="175" t="s">
        <v>375</v>
      </c>
      <c r="C5" s="175" t="s">
        <v>473</v>
      </c>
      <c r="D5" s="175" t="s">
        <v>474</v>
      </c>
      <c r="E5" s="175" t="s">
        <v>475</v>
      </c>
      <c r="F5" s="175" t="s">
        <v>476</v>
      </c>
      <c r="G5" s="175" t="s">
        <v>477</v>
      </c>
      <c r="H5" s="175" t="s">
        <v>445</v>
      </c>
    </row>
    <row r="6" customFormat="false" ht="24" hidden="false" customHeight="true" outlineLevel="0" collapsed="false">
      <c r="B6" s="17" t="s">
        <v>380</v>
      </c>
      <c r="C6" s="105" t="n">
        <f aca="false">'Config Estimator'!K72</f>
        <v>643.356</v>
      </c>
      <c r="D6" s="37" t="n">
        <v>696</v>
      </c>
      <c r="E6" s="176" t="n">
        <f aca="false">C6*D6</f>
        <v>447775.776</v>
      </c>
      <c r="F6" s="177" t="n">
        <f aca="false">E6*Assumptions!C3/100</f>
        <v>0</v>
      </c>
      <c r="G6" s="178" t="n">
        <f aca="false">E6+F6</f>
        <v>447775.776</v>
      </c>
    </row>
    <row r="7" customFormat="false" ht="24" hidden="false" customHeight="true" outlineLevel="0" collapsed="false">
      <c r="B7" s="20" t="s">
        <v>382</v>
      </c>
      <c r="C7" s="109" t="n">
        <f aca="false">'Custom Estimator'!L48</f>
        <v>748.328</v>
      </c>
      <c r="D7" s="37" t="n">
        <v>638</v>
      </c>
      <c r="E7" s="176" t="n">
        <f aca="false">C7*D7</f>
        <v>477433.264</v>
      </c>
      <c r="F7" s="177" t="n">
        <f aca="false">E7*Assumptions!C3/100</f>
        <v>0</v>
      </c>
      <c r="G7" s="178" t="n">
        <f aca="false">E7+F7</f>
        <v>477433.264</v>
      </c>
    </row>
    <row r="8" customFormat="false" ht="24" hidden="false" customHeight="true" outlineLevel="0" collapsed="false">
      <c r="B8" s="23" t="s">
        <v>384</v>
      </c>
      <c r="C8" s="113" t="n">
        <f aca="false">'Data Migration Est.'!M37</f>
        <v>655.0975</v>
      </c>
      <c r="D8" s="37" t="n">
        <v>638</v>
      </c>
      <c r="E8" s="176" t="n">
        <f aca="false">C8*D8</f>
        <v>417952.205</v>
      </c>
      <c r="F8" s="177" t="n">
        <f aca="false">E8*Assumptions!C3/100</f>
        <v>0</v>
      </c>
      <c r="G8" s="178" t="n">
        <f aca="false">E8+F8</f>
        <v>417952.205</v>
      </c>
    </row>
    <row r="9" customFormat="false" ht="27.75" hidden="false" customHeight="true" outlineLevel="0" collapsed="false">
      <c r="B9" s="179" t="s">
        <v>478</v>
      </c>
      <c r="C9" s="116" t="n">
        <f aca="false">C6+C7+C8</f>
        <v>2046.7815</v>
      </c>
      <c r="E9" s="180" t="n">
        <f aca="false">E6+E7+E8</f>
        <v>1343161.245</v>
      </c>
      <c r="F9" s="180" t="n">
        <f aca="false">F6+F7+F8</f>
        <v>0</v>
      </c>
      <c r="G9" s="180" t="n">
        <f aca="false">G6+G7+G8</f>
        <v>1343161.245</v>
      </c>
    </row>
    <row r="11" customFormat="false" ht="24" hidden="false" customHeight="true" outlineLevel="0" collapsed="false">
      <c r="B11" s="10" t="s">
        <v>479</v>
      </c>
      <c r="C11" s="10"/>
      <c r="D11" s="10"/>
      <c r="E11" s="10"/>
      <c r="F11" s="10"/>
      <c r="G11" s="10"/>
      <c r="H11" s="10"/>
    </row>
    <row r="12" customFormat="false" ht="27.75" hidden="false" customHeight="true" outlineLevel="0" collapsed="false">
      <c r="B12" s="29" t="s">
        <v>388</v>
      </c>
      <c r="C12" s="29" t="s">
        <v>480</v>
      </c>
      <c r="D12" s="29" t="s">
        <v>481</v>
      </c>
      <c r="E12" s="29" t="s">
        <v>482</v>
      </c>
      <c r="F12" s="29" t="s">
        <v>483</v>
      </c>
      <c r="G12" s="29" t="s">
        <v>484</v>
      </c>
      <c r="H12" s="29" t="s">
        <v>485</v>
      </c>
    </row>
    <row r="13" customFormat="false" ht="21.75" hidden="false" customHeight="true" outlineLevel="0" collapsed="false">
      <c r="B13" s="49" t="s">
        <v>396</v>
      </c>
      <c r="C13" s="181" t="n">
        <v>0.05</v>
      </c>
      <c r="D13" s="178" t="n">
        <f aca="false">C13*G9</f>
        <v>67158.06225</v>
      </c>
      <c r="E13" s="38" t="n">
        <f aca="false">0.03*G6</f>
        <v>13433.27328</v>
      </c>
      <c r="F13" s="182" t="n">
        <f aca="false">0.02*G7</f>
        <v>9548.66528</v>
      </c>
      <c r="G13" s="183" t="n">
        <f aca="false">0.05*G8</f>
        <v>20897.61025</v>
      </c>
      <c r="H13" s="120" t="n">
        <f aca="false">IFERROR(C13*C9/D9/(h0*5),0)</f>
        <v>0</v>
      </c>
    </row>
    <row r="14" customFormat="false" ht="21.75" hidden="false" customHeight="true" outlineLevel="0" collapsed="false">
      <c r="B14" s="122" t="s">
        <v>397</v>
      </c>
      <c r="C14" s="181" t="n">
        <v>0.12</v>
      </c>
      <c r="D14" s="178" t="n">
        <f aca="false">C14*G9</f>
        <v>161179.3494</v>
      </c>
      <c r="E14" s="38" t="n">
        <f aca="false">0.12*G6</f>
        <v>53733.09312</v>
      </c>
      <c r="F14" s="182" t="n">
        <f aca="false">0.05*G7</f>
        <v>23871.6632</v>
      </c>
      <c r="G14" s="183" t="n">
        <f aca="false">0.15*G8</f>
        <v>62692.83075</v>
      </c>
      <c r="H14" s="124" t="n">
        <f aca="false">IFERROR(C14*C9/D9/(H1*5),0)</f>
        <v>0</v>
      </c>
    </row>
    <row r="15" customFormat="false" ht="21.75" hidden="false" customHeight="true" outlineLevel="0" collapsed="false">
      <c r="B15" s="126" t="s">
        <v>398</v>
      </c>
      <c r="C15" s="181" t="n">
        <v>0.18</v>
      </c>
      <c r="D15" s="178" t="n">
        <f aca="false">C15*G9</f>
        <v>241769.0241</v>
      </c>
      <c r="E15" s="38" t="n">
        <f aca="false">0.18*G6</f>
        <v>80599.63968</v>
      </c>
      <c r="F15" s="182" t="n">
        <f aca="false">0.15*G7</f>
        <v>71614.9896</v>
      </c>
      <c r="G15" s="183" t="n">
        <f aca="false">0.1*G8</f>
        <v>41795.2205</v>
      </c>
      <c r="H15" s="129" t="n">
        <f aca="false">IFERROR(C15*C9/D9/(H2*5),0)</f>
        <v>0</v>
      </c>
    </row>
    <row r="16" customFormat="false" ht="21.75" hidden="false" customHeight="true" outlineLevel="0" collapsed="false">
      <c r="B16" s="53" t="s">
        <v>399</v>
      </c>
      <c r="C16" s="181" t="n">
        <v>0.28</v>
      </c>
      <c r="D16" s="178" t="n">
        <f aca="false">C16*G9</f>
        <v>376085.1486</v>
      </c>
      <c r="E16" s="38" t="n">
        <f aca="false">0.4*G6</f>
        <v>179110.3104</v>
      </c>
      <c r="F16" s="182" t="n">
        <f aca="false">0.45*G7</f>
        <v>214844.9688</v>
      </c>
      <c r="G16" s="183" t="n">
        <f aca="false">0.25*G8</f>
        <v>104488.05125</v>
      </c>
      <c r="H16" s="136" t="n">
        <f aca="false">IFERROR(C16*C9/D9/(H3*5),0)</f>
        <v>0</v>
      </c>
    </row>
    <row r="17" customFormat="false" ht="21.75" hidden="false" customHeight="true" outlineLevel="0" collapsed="false">
      <c r="B17" s="57" t="s">
        <v>400</v>
      </c>
      <c r="C17" s="181" t="n">
        <v>0.12</v>
      </c>
      <c r="D17" s="178" t="n">
        <f aca="false">C17*G9</f>
        <v>161179.3494</v>
      </c>
      <c r="E17" s="38" t="n">
        <f aca="false">0.1*G6</f>
        <v>44777.5776</v>
      </c>
      <c r="F17" s="182" t="n">
        <f aca="false">0.18*G7</f>
        <v>85937.98752</v>
      </c>
      <c r="G17" s="183" t="n">
        <f aca="false">0.05*G8</f>
        <v>20897.61025</v>
      </c>
      <c r="H17" s="143" t="n">
        <f aca="false">IFERROR(C17*C9/D9/(H4*5),0)</f>
        <v>0</v>
      </c>
    </row>
    <row r="18" customFormat="false" ht="21.75" hidden="false" customHeight="true" outlineLevel="0" collapsed="false">
      <c r="B18" s="44" t="s">
        <v>401</v>
      </c>
      <c r="C18" s="181" t="n">
        <v>0.08</v>
      </c>
      <c r="D18" s="178" t="n">
        <f aca="false">C18*G9</f>
        <v>107452.8996</v>
      </c>
      <c r="E18" s="38" t="n">
        <f aca="false">0.08*G6</f>
        <v>35822.06208</v>
      </c>
      <c r="F18" s="182" t="n">
        <f aca="false">0.1*G7</f>
        <v>47743.3264</v>
      </c>
      <c r="G18" s="183" t="n">
        <f aca="false">0.05*G8</f>
        <v>20897.61025</v>
      </c>
      <c r="H18" s="149" t="n">
        <f aca="false">IFERROR(C18*C9/D9/(H5*5),0)</f>
        <v>0</v>
      </c>
    </row>
    <row r="19" customFormat="false" ht="21.75" hidden="false" customHeight="true" outlineLevel="0" collapsed="false">
      <c r="B19" s="126" t="s">
        <v>402</v>
      </c>
      <c r="C19" s="181" t="n">
        <v>0.08</v>
      </c>
      <c r="D19" s="178" t="n">
        <f aca="false">C19*G9</f>
        <v>107452.8996</v>
      </c>
      <c r="E19" s="38" t="n">
        <f aca="false">0*G6</f>
        <v>0</v>
      </c>
      <c r="F19" s="182" t="n">
        <f aca="false">0*G7</f>
        <v>0</v>
      </c>
      <c r="G19" s="183" t="n">
        <f aca="false">0.25*G8</f>
        <v>104488.05125</v>
      </c>
      <c r="H19" s="129" t="n">
        <f aca="false">IFERROR(C19*C9/D9/(H6*5),0)</f>
        <v>0</v>
      </c>
    </row>
    <row r="20" customFormat="false" ht="21.75" hidden="false" customHeight="true" outlineLevel="0" collapsed="false">
      <c r="B20" s="122" t="s">
        <v>403</v>
      </c>
      <c r="C20" s="181" t="n">
        <v>0.05</v>
      </c>
      <c r="D20" s="178" t="n">
        <f aca="false">C20*G9</f>
        <v>67158.06225</v>
      </c>
      <c r="E20" s="38" t="n">
        <f aca="false">0.04*G6</f>
        <v>17911.03104</v>
      </c>
      <c r="F20" s="182" t="n">
        <f aca="false">0.02*G7</f>
        <v>9548.66528</v>
      </c>
      <c r="G20" s="183" t="n">
        <f aca="false">0.03*G8</f>
        <v>12538.56615</v>
      </c>
      <c r="H20" s="124" t="n">
        <f aca="false">IFERROR(C20*C9/D9/(H7*5),0)</f>
        <v>0</v>
      </c>
    </row>
    <row r="21" customFormat="false" ht="21.75" hidden="false" customHeight="true" outlineLevel="0" collapsed="false">
      <c r="B21" s="53" t="s">
        <v>404</v>
      </c>
      <c r="C21" s="181" t="n">
        <v>0.02</v>
      </c>
      <c r="D21" s="178" t="n">
        <f aca="false">C21*G9</f>
        <v>26863.2249</v>
      </c>
      <c r="E21" s="38" t="n">
        <f aca="false">0.03*G6</f>
        <v>13433.27328</v>
      </c>
      <c r="F21" s="182" t="n">
        <f aca="false">0.02*G7</f>
        <v>9548.66528</v>
      </c>
      <c r="G21" s="183" t="n">
        <f aca="false">0.05*G8</f>
        <v>20897.61025</v>
      </c>
      <c r="H21" s="136" t="n">
        <f aca="false">IFERROR(C21*C9/D9/(H8*5),0)</f>
        <v>0</v>
      </c>
    </row>
    <row r="22" customFormat="false" ht="21.75" hidden="false" customHeight="true" outlineLevel="0" collapsed="false">
      <c r="B22" s="11" t="s">
        <v>405</v>
      </c>
      <c r="C22" s="181" t="n">
        <v>0.02</v>
      </c>
      <c r="D22" s="178" t="n">
        <f aca="false">C22*G9</f>
        <v>26863.2249</v>
      </c>
      <c r="E22" s="38" t="n">
        <f aca="false">0.02*G6</f>
        <v>8955.51552</v>
      </c>
      <c r="F22" s="182" t="n">
        <f aca="false">0.01*G7</f>
        <v>4774.33264</v>
      </c>
      <c r="G22" s="183" t="n">
        <f aca="false">0.02*G8</f>
        <v>8359.0441</v>
      </c>
      <c r="H22" s="156" t="n">
        <f aca="false">IFERROR(C22*C9/D9/(H9*5),0)</f>
        <v>0</v>
      </c>
    </row>
    <row r="25" customFormat="false" ht="24" hidden="false" customHeight="true" outlineLevel="0" collapsed="false">
      <c r="B25" s="10" t="s">
        <v>486</v>
      </c>
      <c r="C25" s="10"/>
      <c r="D25" s="10"/>
      <c r="E25" s="10"/>
      <c r="F25" s="10"/>
      <c r="G25" s="10"/>
      <c r="H25" s="10"/>
    </row>
    <row r="26" customFormat="false" ht="39.75" hidden="false" customHeight="true" outlineLevel="0" collapsed="false">
      <c r="B26" s="184" t="s">
        <v>487</v>
      </c>
      <c r="C26" s="184"/>
      <c r="D26" s="184"/>
      <c r="E26" s="184"/>
      <c r="F26" s="184"/>
      <c r="G26" s="184"/>
      <c r="H26" s="184"/>
    </row>
  </sheetData>
  <mergeCells count="6">
    <mergeCell ref="B1:H1"/>
    <mergeCell ref="B2:H2"/>
    <mergeCell ref="B4:H4"/>
    <mergeCell ref="B11:H11"/>
    <mergeCell ref="B25:H25"/>
    <mergeCell ref="B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2026-07-15T01:25:33Z</dcterms:created>
  <dc:creator>openpyxl</dc:creator>
  <dc:description/>
  <dc:language>en-US</dc:language>
  <cp:lastModifiedBy/>
  <dcterms:modified xsi:type="dcterms:W3CDTF">2026-07-15T03:05:14Z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