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Inputs" sheetId="2" state="visible" r:id="rId4"/>
    <sheet name="Estimator" sheetId="3" state="visible" r:id="rId5"/>
    <sheet name="Role Mapping" sheetId="4" state="visible" r:id="rId6"/>
    <sheet name="Duration &amp; Phasing" sheetId="5" state="visible" r:id="rId7"/>
    <sheet name="Complexity Guidelines" sheetId="6" state="visible" r:id="rId8"/>
    <sheet name="Risks &amp; Mitigations" sheetId="7" state="visible" r:id="rId9"/>
    <sheet name="Assumptions" sheetId="8" state="visible" r:id="rId10"/>
    <sheet name="Benchmarks &amp; Source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<sst xmlns="http://schemas.openxmlformats.org/spreadsheetml/2006/main" count="448" uniqueCount="406">
  <si>
    <t xml:space="preserve">MES Implementation Estimation Template  |  v1.0  |  Estimation CoE</t>
  </si>
  <si>
    <t xml:space="preserve">Single-site greenfield MES implementation estimator with multi-site rollout factor. ISA-95 / MESA-aligned work-package breakdown. Prepared 22-Jul-2026.</t>
  </si>
  <si>
    <t xml:space="preserve">How to use this workbook</t>
  </si>
  <si>
    <t xml:space="preserve">Step 1 - Inputs</t>
  </si>
  <si>
    <t xml:space="preserve">Enter project volumetric drivers (counts of workflows, equipment connections, interfaces, etc.) in the yellow cells of the 'Inputs' sheet. Set the Regulated Industry toggle (Y/N) and number of rollout sites.</t>
  </si>
  <si>
    <t xml:space="preserve">Step 2 - Review unit efforts</t>
  </si>
  <si>
    <t xml:space="preserve">The 'Estimator' sheet holds benchmark unit-effort hours (blue font) per work package per complexity band. Calibrate these against your own actuals; provenance for each is on the 'Benchmarks &amp; Sources' sheet.</t>
  </si>
  <si>
    <t xml:space="preserve">Step 3 - Read outputs</t>
  </si>
  <si>
    <t xml:space="preserve">Total effort, contingency and grand total compute automatically on 'Estimator'. Role-wise FTE staffing is on 'Role Mapping'; phase-wise elapsed duration on 'Duration &amp; Phasing'.</t>
  </si>
  <si>
    <t xml:space="preserve">Step 4 - Risk-adjust</t>
  </si>
  <si>
    <t xml:space="preserve">Review the 'Risks &amp; Mitigations' sheet; toggle applicable risks (Y/N) to drive the risk contingency % used on the Estimator.</t>
  </si>
  <si>
    <t xml:space="preserve">Step 5 - Validate assumptions</t>
  </si>
  <si>
    <t xml:space="preserve">Confirm every assumption on the 'Assumptions' sheet with the customer / bid team before publishing the estimate.</t>
  </si>
  <si>
    <t xml:space="preserve">Colour legend</t>
  </si>
  <si>
    <t xml:space="preserve">Yellow fill + blue font</t>
  </si>
  <si>
    <t xml:space="preserve">User input cell - fill these in</t>
  </si>
  <si>
    <t xml:space="preserve">Blue font (no fill)</t>
  </si>
  <si>
    <t xml:space="preserve">Benchmark / assumption value - editable, calibrate to your context</t>
  </si>
  <si>
    <t xml:space="preserve">Black font</t>
  </si>
  <si>
    <t xml:space="preserve">Formula - do not overwrite</t>
  </si>
  <si>
    <t xml:space="preserve">Green font</t>
  </si>
  <si>
    <t xml:space="preserve">Link to another sheet</t>
  </si>
  <si>
    <t xml:space="preserve">Sheet map</t>
  </si>
  <si>
    <t xml:space="preserve">Inputs</t>
  </si>
  <si>
    <t xml:space="preserve">Volumetric drivers, toggles, rate/duration parameters (user entry)</t>
  </si>
  <si>
    <t xml:space="preserve">Estimator</t>
  </si>
  <si>
    <t xml:space="preserve">Work packages x complexity x unit effort = effort; derived packages; contingency; grand total</t>
  </si>
  <si>
    <t xml:space="preserve">Role Mapping</t>
  </si>
  <si>
    <t xml:space="preserve">Role-wise effort split, hours and FTE</t>
  </si>
  <si>
    <t xml:space="preserve">Duration &amp; Phasing</t>
  </si>
  <si>
    <t xml:space="preserve">Phase effort distribution and elapsed weeks</t>
  </si>
  <si>
    <t xml:space="preserve">Complexity Guidelines</t>
  </si>
  <si>
    <t xml:space="preserve">How to classify each driver as Simple / Medium / Complex</t>
  </si>
  <si>
    <t xml:space="preserve">Risks &amp; Mitigations</t>
  </si>
  <si>
    <t xml:space="preserve">Risk register with probability, estimate impact %, mitigations; drives contingency</t>
  </si>
  <si>
    <t xml:space="preserve">Assumptions</t>
  </si>
  <si>
    <t xml:space="preserve">All estimating assumptions behind the numbers</t>
  </si>
  <si>
    <t xml:space="preserve">Benchmarks &amp; Sources</t>
  </si>
  <si>
    <t xml:space="preserve">Provenance and citations for benchmark unit efforts</t>
  </si>
  <si>
    <t xml:space="preserve">Important</t>
  </si>
  <si>
    <t xml:space="preserve">Public, per-work-package MES unit-effort benchmarks are scarce; vendors publish cost/duration ranges rather than hour-level norms. Unit hours here are SME heuristics anchored to the cited public data points (see Benchmarks &amp; Sources) and MUST be calibrated with your own estimate-vs-actual history before commercial use.</t>
  </si>
  <si>
    <t xml:space="preserve">Volumetric Drivers &amp; Project Parameters</t>
  </si>
  <si>
    <t xml:space="preserve">Fill yellow cells only. These drive all downstream calculations. Use 'Complexity Guidelines' sheet to band each item as Simple / Medium / Complex.</t>
  </si>
  <si>
    <t xml:space="preserve">Volumetric driver</t>
  </si>
  <si>
    <t xml:space="preserve">Simple (#)</t>
  </si>
  <si>
    <t xml:space="preserve">Medium (#)</t>
  </si>
  <si>
    <t xml:space="preserve">Complex (#)</t>
  </si>
  <si>
    <t xml:space="preserve">Total</t>
  </si>
  <si>
    <t xml:space="preserve">Guidance</t>
  </si>
  <si>
    <t xml:space="preserve">D1. Functional process areas in scope (order exec, quality, T&amp;T, OEE...)</t>
  </si>
  <si>
    <t xml:space="preserve">Count distinct MES functional modules to configure (see Estimator WP-04 rows)</t>
  </si>
  <si>
    <t xml:space="preserve">D2. Production workflows / eBR-MBR recipes to model</t>
  </si>
  <si>
    <t xml:space="preserve">Distinct routings / electronic batch records / workflow models</t>
  </si>
  <si>
    <t xml:space="preserve">D3. Equipment / machine integration points (Level 2)</t>
  </si>
  <si>
    <t xml:space="preserve">Per connected machine or cell; Simple = native OPC UA, Complex = legacy/custom protocol</t>
  </si>
  <si>
    <t xml:space="preserve">D4. Enterprise interfaces (Level 4: ERP, LIMS, WMS, PLM, QMS)</t>
  </si>
  <si>
    <t xml:space="preserve">Per logical interface (e.g., production order download, confirmation upload)</t>
  </si>
  <si>
    <t xml:space="preserve">D5. Custom development objects (screens, reports, extensions)</t>
  </si>
  <si>
    <t xml:space="preserve">RICEFW-style objects beyond standard configuration</t>
  </si>
  <si>
    <t xml:space="preserve">D6. Master data objects to migrate / load</t>
  </si>
  <si>
    <t xml:space="preserve">Materials, BOMs, routings, work centres, users, specs...</t>
  </si>
  <si>
    <t xml:space="preserve">D7. Standard reports / dashboards to configure</t>
  </si>
  <si>
    <t xml:space="preserve">OEE, WIP, genealogy, compliance dashboards</t>
  </si>
  <si>
    <t xml:space="preserve">D8. User groups / roles to train</t>
  </si>
  <si>
    <t xml:space="preserve">Operators, supervisors, quality, engineering, admins</t>
  </si>
  <si>
    <t xml:space="preserve">Project parameter</t>
  </si>
  <si>
    <t xml:space="preserve">Value</t>
  </si>
  <si>
    <t xml:space="preserve">P1. Regulated industry (GxP validation required)?</t>
  </si>
  <si>
    <t xml:space="preserve">Y</t>
  </si>
  <si>
    <t xml:space="preserve">Y = pharma/med-dev/food; adds CSV/IQ-OQ-PQ uplift (WP-10)</t>
  </si>
  <si>
    <t xml:space="preserve">P2. Number of additional rollout sites (beyond first site)</t>
  </si>
  <si>
    <t xml:space="preserve">Subsequent sites priced with template reuse factor (WP-14)</t>
  </si>
  <si>
    <t xml:space="preserve">P3. Rollout reuse factor (subsequent site effort as % of first-site core build)</t>
  </si>
  <si>
    <t xml:space="preserve">Industry: validated template cuts per-site hours ~70% (1,000 -&gt; 300 hrs pattern); 30% default</t>
  </si>
  <si>
    <t xml:space="preserve">P4. Productive hours per person-month</t>
  </si>
  <si>
    <t xml:space="preserve">8 hrs x 19 productive days; align to your delivery norm</t>
  </si>
  <si>
    <t xml:space="preserve">P5. Average blended team size (FTE) for duration calc</t>
  </si>
  <si>
    <t xml:space="preserve">Used on Duration &amp; Phasing to convert effort to elapsed weeks</t>
  </si>
  <si>
    <t xml:space="preserve">P6. Base contingency % (estimation uncertainty, pre-risk)</t>
  </si>
  <si>
    <t xml:space="preserve">Applied before risk-driven contingency from Risks sheet</t>
  </si>
  <si>
    <t xml:space="preserve">Example values shown are a realistic mid-size discrete/pharma plant; overwrite with your project's counts.</t>
  </si>
  <si>
    <t xml:space="preserve">Effort Estimator - Work Packages x Complexity x Benchmark Unit Effort</t>
  </si>
  <si>
    <t xml:space="preserve">Counts flow from Inputs (green). Unit-effort hours (blue) are calibratable benchmarks - provenance in 'Benchmarks &amp; Sources' (Src ID column). Effort in person-hours.</t>
  </si>
  <si>
    <t xml:space="preserve">WP ID</t>
  </si>
  <si>
    <t xml:space="preserve">Work package / component</t>
  </si>
  <si>
    <t xml:space="preserve">Volumetric driver (unit)</t>
  </si>
  <si>
    <t xml:space="preserve"># S</t>
  </si>
  <si>
    <t xml:space="preserve"># M</t>
  </si>
  <si>
    <t xml:space="preserve"># C</t>
  </si>
  <si>
    <t xml:space="preserve">Unit hrs S</t>
  </si>
  <si>
    <t xml:space="preserve">Unit hrs M</t>
  </si>
  <si>
    <t xml:space="preserve">Unit hrs C</t>
  </si>
  <si>
    <t xml:space="preserve">Effort (hrs)</t>
  </si>
  <si>
    <t xml:space="preserve">Src ID</t>
  </si>
  <si>
    <t xml:space="preserve">Complexity definition (what makes an item S / M / C)</t>
  </si>
  <si>
    <t xml:space="preserve">WP-02</t>
  </si>
  <si>
    <t xml:space="preserve">Requirements, URS &amp; as-is/to-be process mapping</t>
  </si>
  <si>
    <t xml:space="preserve">Per functional process area</t>
  </si>
  <si>
    <t xml:space="preserve">S3</t>
  </si>
  <si>
    <t xml:space="preserve">S: single well-documented process, &lt;=2 stakeholder groups. M: cross-functional process, moderate re-engineering. C: multi-dept process, paper-to-digital transformation, regulatory content.</t>
  </si>
  <si>
    <t xml:space="preserve">WP-03</t>
  </si>
  <si>
    <t xml:space="preserve">Solution architecture &amp; functional/technical design (FDS/TDS)</t>
  </si>
  <si>
    <t xml:space="preserve">S: standard module fit, config-only design. M: some extension points, 1-2 integration touchpoints. C: heavy customisation, multi-system data flows, performance/HA design.</t>
  </si>
  <si>
    <t xml:space="preserve">WP-04</t>
  </si>
  <si>
    <t xml:space="preserve">Core MES configuration (order execution, dispatching, data collection)</t>
  </si>
  <si>
    <t xml:space="preserve">Per workflow / eBR-recipe model</t>
  </si>
  <si>
    <t xml:space="preserve">S1</t>
  </si>
  <si>
    <t xml:space="preserve">S: linear routing, &lt;=10 steps, no branching. M: 10-25 steps, conditional logic, e-signatures. C: &gt;25 steps, parallel/rework loops, weigh &amp; dispense, complex parametric data capture.</t>
  </si>
  <si>
    <t xml:space="preserve">WP-05</t>
  </si>
  <si>
    <t xml:space="preserve">Equipment / automation integration (Level 2)</t>
  </si>
  <si>
    <t xml:space="preserve">Per machine / cell connection</t>
  </si>
  <si>
    <t xml:space="preserve">S2</t>
  </si>
  <si>
    <t xml:space="preserve">S: modern PLC/OPC UA native, standard tags. M: driver-based (Modbus, proprietary gateway), tag mapping + scaling. C: legacy/serial/custom protocol, PLC code changes, bidirectional recipe download.</t>
  </si>
  <si>
    <t xml:space="preserve">WP-06</t>
  </si>
  <si>
    <t xml:space="preserve">Enterprise integration (Level 4: ERP/LIMS/WMS/PLM/QMS)</t>
  </si>
  <si>
    <t xml:space="preserve">Per logical interface</t>
  </si>
  <si>
    <t xml:space="preserve">S6</t>
  </si>
  <si>
    <t xml:space="preserve">S: standard connector, one-way, low volume. M: bidirectional, field mapping + error handling. C: custom API/middleware, orchestration, high volume or guaranteed delivery.</t>
  </si>
  <si>
    <t xml:space="preserve">WP-07</t>
  </si>
  <si>
    <t xml:space="preserve">Custom development / extensions</t>
  </si>
  <si>
    <t xml:space="preserve">Per RICEFW-style object</t>
  </si>
  <si>
    <t xml:space="preserve">S: report/screen tweak on standard data model. M: new screen or service with business logic. C: new module-level function, complex logic, performance-sensitive.</t>
  </si>
  <si>
    <t xml:space="preserve">WP-08</t>
  </si>
  <si>
    <t xml:space="preserve">Data migration &amp; master data load</t>
  </si>
  <si>
    <t xml:space="preserve">Per data object</t>
  </si>
  <si>
    <t xml:space="preserve">S: clean single-source extract, &lt;5k records. M: transformation rules, 2 sources. C: multi-source cleansing, genealogy/history load, validation evidence required.</t>
  </si>
  <si>
    <t xml:space="preserve">WP-09</t>
  </si>
  <si>
    <t xml:space="preserve">Reports &amp; dashboards</t>
  </si>
  <si>
    <t xml:space="preserve">Per report / dashboard</t>
  </si>
  <si>
    <t xml:space="preserve">S: standard template, single data source. M: multi-source KPI dashboard. C: regulatory/e-record report with audit trail, complex aggregation.</t>
  </si>
  <si>
    <t xml:space="preserve">WP-11</t>
  </si>
  <si>
    <t xml:space="preserve">Training &amp; OCM</t>
  </si>
  <si>
    <t xml:space="preserve">Per user group / role</t>
  </si>
  <si>
    <t xml:space="preserve">S4</t>
  </si>
  <si>
    <t xml:space="preserve">S: &lt;=10 users, standard role. M: 10-40 users, shift coverage. C: &gt;40 users, multi-shift, competency assessment, train-the-trainer.</t>
  </si>
  <si>
    <t xml:space="preserve">WP-13</t>
  </si>
  <si>
    <t xml:space="preserve">Infrastructure &amp; environments (DEV/QA/PROD, server/cloud setup, security)</t>
  </si>
  <si>
    <t xml:space="preserve">Fixed per project (lump sum hrs)</t>
  </si>
  <si>
    <t xml:space="preserve">-</t>
  </si>
  <si>
    <t xml:space="preserve">Adjust: ~200 hrs cloud-SaaS MES; ~320 hrs hybrid; 480+ hrs on-prem HA with DMZ/OT-network segregation.</t>
  </si>
  <si>
    <t xml:space="preserve">Sub-total: Build &amp; configure (basis for derived packages)</t>
  </si>
  <si>
    <t xml:space="preserve">WP-12a</t>
  </si>
  <si>
    <t xml:space="preserve">System &amp; integration testing (SIT) + UAT support</t>
  </si>
  <si>
    <t xml:space="preserve">Derived (% factor)</t>
  </si>
  <si>
    <t xml:space="preserve">% of Build sub-total. Raise to 30% for heavily integrated landscapes; lower to 20% for config-only scope.</t>
  </si>
  <si>
    <t xml:space="preserve">WP-10</t>
  </si>
  <si>
    <t xml:space="preserve">Validation / CSV (IQ-OQ-PQ, traceability) - regulated only</t>
  </si>
  <si>
    <t xml:space="preserve">S5</t>
  </si>
  <si>
    <t xml:space="preserve">% of Build sub-total, applied only if Inputs P1 = Y. Pharma norm: validation &amp; compliance consume 20-25% of project resources.</t>
  </si>
  <si>
    <t xml:space="preserve">WP-01</t>
  </si>
  <si>
    <t xml:space="preserve">Project management &amp; governance</t>
  </si>
  <si>
    <t xml:space="preserve">% of (Build + Testing + Validation). 10-15% typical for single-site MES programmes.</t>
  </si>
  <si>
    <t xml:space="preserve">WP-12b</t>
  </si>
  <si>
    <t xml:space="preserve">Cutover, go-live &amp; hypercare (4 weeks)</t>
  </si>
  <si>
    <t xml:space="preserve">% of Build sub-total; assumes 4-week hypercare with tapering team.</t>
  </si>
  <si>
    <t xml:space="preserve">Sub-total: First site total effort</t>
  </si>
  <si>
    <t xml:space="preserve">WP-14</t>
  </si>
  <si>
    <t xml:space="preserve">Multi-site rollout (subsequent sites, template reuse)</t>
  </si>
  <si>
    <t xml:space="preserve">Per additional site</t>
  </si>
  <si>
    <t xml:space="preserve">Additional sites x reuse factor (Inputs P3) x first-site total. Benchmark: template reuse cuts per-site hours ~70%.</t>
  </si>
  <si>
    <t xml:space="preserve">Sub-total: Programme effort before contingency</t>
  </si>
  <si>
    <t xml:space="preserve">Base contingency (Inputs P6)</t>
  </si>
  <si>
    <t xml:space="preserve">Estimation uncertainty independent of specific risks.</t>
  </si>
  <si>
    <t xml:space="preserve">Risk-driven contingency (from Risks &amp; Mitigations sheet)</t>
  </si>
  <si>
    <t xml:space="preserve">Sum of expected-value impacts of risks toggled 'Y' on the Risks sheet.</t>
  </si>
  <si>
    <t xml:space="preserve">GRAND TOTAL EFFORT (person-hours)</t>
  </si>
  <si>
    <t xml:space="preserve">Grand total (person-months)</t>
  </si>
  <si>
    <t xml:space="preserve">Note: WP IDs are non-sequential by design - rows are grouped driver-based first, then derived (%) packages.</t>
  </si>
  <si>
    <t xml:space="preserve">Role Mapping &amp; Staffing</t>
  </si>
  <si>
    <t xml:space="preserve">Role allocation % (blue - must total 100%) applied to Grand Total effort. FTE assumes role deployed across full elapsed duration from 'Duration &amp; Phasing'.</t>
  </si>
  <si>
    <t xml:space="preserve">Role</t>
  </si>
  <si>
    <t xml:space="preserve">Alloc %</t>
  </si>
  <si>
    <t xml:space="preserve">Effort (PM)</t>
  </si>
  <si>
    <t xml:space="preserve">Avg FTE over programme</t>
  </si>
  <si>
    <t xml:space="preserve">Primary responsibilities / mapped work packages</t>
  </si>
  <si>
    <t xml:space="preserve">Program / Project Manager</t>
  </si>
  <si>
    <t xml:space="preserve">Plan, governance, RAID, stakeholder &amp; vendor mgmt (WP-01)</t>
  </si>
  <si>
    <t xml:space="preserve">MES Solution Architect</t>
  </si>
  <si>
    <t xml:space="preserve">End-to-end architecture, ISA-95 data model, design authority (WP-03, WP-06)</t>
  </si>
  <si>
    <t xml:space="preserve">MES Functional Consultant</t>
  </si>
  <si>
    <t xml:space="preserve">Requirements, process mapping, core configuration, workflow/eBR modelling (WP-02, WP-04)</t>
  </si>
  <si>
    <t xml:space="preserve">MES Technical Developer / Configurator</t>
  </si>
  <si>
    <t xml:space="preserve">Custom objects, reports/dashboards, screen extensions (WP-05*, WP-07, WP-09)</t>
  </si>
  <si>
    <t xml:space="preserve">Automation / OT Integration Engineer</t>
  </si>
  <si>
    <t xml:space="preserve">PLC/SCADA connectivity, OPC UA, tag mapping, Level 2 (WP-05)</t>
  </si>
  <si>
    <t xml:space="preserve">Enterprise Interface Developer</t>
  </si>
  <si>
    <t xml:space="preserve">ERP/LIMS/WMS APIs &amp; middleware (WP-06)</t>
  </si>
  <si>
    <t xml:space="preserve">Data Migration Analyst</t>
  </si>
  <si>
    <t xml:space="preserve">Extraction, cleansing, load &amp; reconciliation (WP-08)</t>
  </si>
  <si>
    <t xml:space="preserve">QA / Test Engineer</t>
  </si>
  <si>
    <t xml:space="preserve">Test strategy, SIT, UAT support, defect mgmt (WP-12a)</t>
  </si>
  <si>
    <t xml:space="preserve">Validation / CSV Specialist</t>
  </si>
  <si>
    <t xml:space="preserve">Validation plan, IQ/OQ/PQ, traceability matrix (WP-10; regulated only)</t>
  </si>
  <si>
    <t xml:space="preserve">OCM / Training Lead</t>
  </si>
  <si>
    <t xml:space="preserve">Training design &amp; delivery, adoption, comms (WP-11)</t>
  </si>
  <si>
    <t xml:space="preserve">Check: allocation must equal 100%</t>
  </si>
  <si>
    <t xml:space="preserve">Benchmark cross-check: pharma norm ~60-70% technical, 20-25% validation &amp; compliance, 10-15% OCM/training (see Src S5). If P1=N, redistribute the Validation 6% into Functional/Test roles.</t>
  </si>
  <si>
    <t xml:space="preserve">Phase-wise Effort Distribution &amp; Elapsed Duration</t>
  </si>
  <si>
    <t xml:space="preserve">Phase % (blue) applied to Grand Total. Elapsed weeks = phase hours / (team FTE x 40 hrs), with overlap factor. Calibrate phase % to your methodology.</t>
  </si>
  <si>
    <t xml:space="preserve">Phase</t>
  </si>
  <si>
    <t xml:space="preserve">Effort %</t>
  </si>
  <si>
    <t xml:space="preserve">Elapsed weeks</t>
  </si>
  <si>
    <t xml:space="preserve">Cum. weeks</t>
  </si>
  <si>
    <t xml:space="preserve">Notes</t>
  </si>
  <si>
    <t xml:space="preserve">1. Prepare &amp; mobilise</t>
  </si>
  <si>
    <t xml:space="preserve">Kick-off, environments start, team onboarding, detailed plan</t>
  </si>
  <si>
    <t xml:space="preserve">2. Requirements &amp; design</t>
  </si>
  <si>
    <t xml:space="preserve">URS, process mapping, FDS/TDS sign-off (WP-02/03)</t>
  </si>
  <si>
    <t xml:space="preserve">3. Build &amp; configure</t>
  </si>
  <si>
    <t xml:space="preserve">Core config, equipment &amp; enterprise integration, custom dev, data migration build</t>
  </si>
  <si>
    <t xml:space="preserve">4. Test (SIT/UAT)</t>
  </si>
  <si>
    <t xml:space="preserve">Test prep + execution; UAT with business</t>
  </si>
  <si>
    <t xml:space="preserve">5. Validate (IQ/OQ/PQ)</t>
  </si>
  <si>
    <t xml:space="preserve">Regulated only - runs partly in parallel with UAT</t>
  </si>
  <si>
    <t xml:space="preserve">6. Deploy &amp; cutover</t>
  </si>
  <si>
    <t xml:space="preserve">Data loads, dress rehearsal, go-live</t>
  </si>
  <si>
    <t xml:space="preserve">7. Hypercare &amp; handover</t>
  </si>
  <si>
    <t xml:space="preserve">4-week stabilisation, transition to AMS</t>
  </si>
  <si>
    <t xml:space="preserve">Total (sequential)</t>
  </si>
  <si>
    <t xml:space="preserve">Phase overlap factor (parallel working)</t>
  </si>
  <si>
    <t xml:space="preserve">0.80 = 20% schedule compression through parallel phases; set 1.00 for strictly sequential.</t>
  </si>
  <si>
    <t xml:space="preserve">PLANNED ELAPSED DURATION - overall programme (weeks)</t>
  </si>
  <si>
    <t xml:space="preserve">Basis = Grand Total effort incl. rollout sites at the average team size (P5). Sanity check: single-site MES 6-12 months; pharma/regulated 12-18 months (Src S4/S5). For per-site wave plans, model each site's wave separately.</t>
  </si>
  <si>
    <t xml:space="preserve">Duration is effort-derived; long-lead items (hardware procurement, OT network changes, vendor licence lead times) can extend the critical path independent of effort - flag on Risks sheet.</t>
  </si>
  <si>
    <t xml:space="preserve">Complexity Classification Guidelines</t>
  </si>
  <si>
    <t xml:space="preserve">Use these rules to band every counted item on the Inputs sheet. When an item matches criteria across two bands, take the higher band. Documented banding rationale is mandatory for estimate review.</t>
  </si>
  <si>
    <t xml:space="preserve">Component</t>
  </si>
  <si>
    <t xml:space="preserve">Simple</t>
  </si>
  <si>
    <t xml:space="preserve">Medium</t>
  </si>
  <si>
    <t xml:space="preserve">Complex</t>
  </si>
  <si>
    <t xml:space="preserve">Escalators (auto-promote one band if...)</t>
  </si>
  <si>
    <t xml:space="preserve">Workflow / eBR-recipe (WP-04)</t>
  </si>
  <si>
    <t xml:space="preserve">Linear routing &lt;=10 steps; no branching; standard data collection; no e-signature</t>
  </si>
  <si>
    <t xml:space="preserve">10-25 steps; conditional branching; e-signatures; exception handling; label printing</t>
  </si>
  <si>
    <t xml:space="preserve">&gt;25 steps; parallel paths / rework loops; weigh &amp; dispense; parametric quality data; multi-level genealogy</t>
  </si>
  <si>
    <t xml:space="preserve">GxP critical step; serialisation; operator guidance with interlocks</t>
  </si>
  <si>
    <t xml:space="preserve">Equipment integration (WP-05)</t>
  </si>
  <si>
    <t xml:space="preserve">Modern PLC with native OPC UA; read-only tags; standard data model</t>
  </si>
  <si>
    <t xml:space="preserve">Driver/gateway (Modbus, proprietary); tag mapping &amp; scaling; write-back of setpoints</t>
  </si>
  <si>
    <t xml:space="preserve">Legacy/serial/custom protocol; PLC logic changes needed; bidirectional recipe download; safety-relevant signals</t>
  </si>
  <si>
    <t xml:space="preserve">No PLC documentation; machine vendor involvement required; OT network redesign</t>
  </si>
  <si>
    <t xml:space="preserve">Enterprise interface (WP-06)</t>
  </si>
  <si>
    <t xml:space="preserve">Standard connector; one-way; batch frequency; &lt;5 fields transformed</t>
  </si>
  <si>
    <t xml:space="preserve">Bidirectional; near-real-time; field mapping + error handling &amp; retries</t>
  </si>
  <si>
    <t xml:space="preserve">Custom API/middleware orchestration; guaranteed delivery; high volume; multi-system choreography</t>
  </si>
  <si>
    <t xml:space="preserve">Master data ownership disputed; middleware platform is new to client</t>
  </si>
  <si>
    <t xml:space="preserve">Custom object (WP-07)</t>
  </si>
  <si>
    <t xml:space="preserve">Cosmetic screen/report change on standard data model</t>
  </si>
  <si>
    <t xml:space="preserve">New screen/service with moderate business logic; standard APIs</t>
  </si>
  <si>
    <t xml:space="preserve">New functional capability; complex algorithms; performance-critical; extends core data model</t>
  </si>
  <si>
    <t xml:space="preserve">Requires vendor SDK expertise not available in-house</t>
  </si>
  <si>
    <t xml:space="preserve">Data object migration (WP-08)</t>
  </si>
  <si>
    <t xml:space="preserve">Single clean source; &lt;5k records; direct mapping</t>
  </si>
  <si>
    <t xml:space="preserve">Transformation rules; two sources; reconciliation report</t>
  </si>
  <si>
    <t xml:space="preserve">Multi-source cleansing; historical/genealogy load; validated load evidence (GxP)</t>
  </si>
  <si>
    <t xml:space="preserve">Source data quality unknown / no data owner identified</t>
  </si>
  <si>
    <t xml:space="preserve">Report / dashboard (WP-09)</t>
  </si>
  <si>
    <t xml:space="preserve">Standard template; single source; static</t>
  </si>
  <si>
    <t xml:space="preserve">Multi-source KPI dashboard; drill-down; scheduled distribution</t>
  </si>
  <si>
    <t xml:space="preserve">Regulatory e-record report; audit trail; complex aggregation across sites</t>
  </si>
  <si>
    <t xml:space="preserve">Sub-second refresh or very high-volume historian queries</t>
  </si>
  <si>
    <t xml:space="preserve">Process area (WP-02/03)</t>
  </si>
  <si>
    <t xml:space="preserve">Well-documented; single dept; config-only fit</t>
  </si>
  <si>
    <t xml:space="preserve">Cross-functional; moderate re-engineering; 1-2 integrations</t>
  </si>
  <si>
    <t xml:space="preserve">Multi-dept; paper-to-digital transformation; regulatory content; heavy integration</t>
  </si>
  <si>
    <t xml:space="preserve">No documented as-is process exists</t>
  </si>
  <si>
    <t xml:space="preserve">Training group (WP-11)</t>
  </si>
  <si>
    <t xml:space="preserve">&lt;=10 users; single shift; standard role</t>
  </si>
  <si>
    <t xml:space="preserve">10-40 users; multi-shift scheduling</t>
  </si>
  <si>
    <t xml:space="preserve">&gt;40 users; competency assessment; train-the-trainer; multilingual</t>
  </si>
  <si>
    <t xml:space="preserve">Unionised workforce requiring negotiated change process</t>
  </si>
  <si>
    <t xml:space="preserve">Governance rule</t>
  </si>
  <si>
    <t xml:space="preserve">Any single work package where &gt;40% of items are banded Complex should trigger an architecture review before the estimate is baselined - it usually signals scope that belongs in a different delivery model (e.g., product co-development).</t>
  </si>
  <si>
    <t xml:space="preserve">Risk Register - Impact on Estimate &amp; Contingency Driver</t>
  </si>
  <si>
    <t xml:space="preserve">Toggle 'Applies?' = Y/N (yellow). Contingency contribution = Probability x Impact % (expected value). Total feeds Estimator risk-contingency row.</t>
  </si>
  <si>
    <t xml:space="preserve">ID</t>
  </si>
  <si>
    <t xml:space="preserve">Risk</t>
  </si>
  <si>
    <t xml:space="preserve">Mitigation</t>
  </si>
  <si>
    <t xml:space="preserve">Probability</t>
  </si>
  <si>
    <t xml:space="preserve">Impact on estimate if it occurs</t>
  </si>
  <si>
    <t xml:space="preserve">Contingency contribution</t>
  </si>
  <si>
    <t xml:space="preserve">Applies? (Y/N)</t>
  </si>
  <si>
    <t xml:space="preserve">Rationale for impact</t>
  </si>
  <si>
    <t xml:space="preserve">R1</t>
  </si>
  <si>
    <t xml:space="preserve">Shop-floor equipment older/less documented than assumed; integration effort balloons</t>
  </si>
  <si>
    <t xml:space="preserve">Site survey &amp; connectivity assessment of every machine BEFORE baselining; pilot-connect 2-3 worst machines in discovery</t>
  </si>
  <si>
    <t xml:space="preserve">Equipment integration is the most variable MES cost driver; legacy protocol work can 3-10x per-machine hours</t>
  </si>
  <si>
    <t xml:space="preserve">R2</t>
  </si>
  <si>
    <t xml:space="preserve">Scope creep - each site/department demands local variations</t>
  </si>
  <si>
    <t xml:space="preserve">Template governance board; 5-level standardisation model; change control with commercial impact for every variation</t>
  </si>
  <si>
    <t xml:space="preserve">Multi-site programmes report hard-coding &amp; per-site scope creep as top rollout-time inflators</t>
  </si>
  <si>
    <t xml:space="preserve">R3</t>
  </si>
  <si>
    <t xml:space="preserve">Inadequate scoping / fuzzy requirements forces mid-project reset</t>
  </si>
  <si>
    <t xml:space="preserve">Formal URS sign-off gate; process walkthroughs on the floor, not in conference rooms; scope boundary doc (functional, integration, compliance)</t>
  </si>
  <si>
    <t xml:space="preserve">N</t>
  </si>
  <si>
    <t xml:space="preserve">Documented case: pharma manufacturer reset after 3 months, &gt;$400k wasted effort</t>
  </si>
  <si>
    <t xml:space="preserve">R4</t>
  </si>
  <si>
    <t xml:space="preserve">ERP master data quality poor; migration &amp; interface rework</t>
  </si>
  <si>
    <t xml:space="preserve">Data profiling in discovery; data-quality remediation as client obligation in contract; reconciliation gates</t>
  </si>
  <si>
    <t xml:space="preserve">Interface/migration rework typically adds 5-12% when master data ownership is weak</t>
  </si>
  <si>
    <t xml:space="preserve">R5</t>
  </si>
  <si>
    <t xml:space="preserve">Validation cycles (GxP) exceed plan; documentation rework</t>
  </si>
  <si>
    <t xml:space="preserve">Risk-based validation strategy; involve QA from design phase; leverage vendor qualification packs</t>
  </si>
  <si>
    <t xml:space="preserve">Validation &amp; compliance normally consume 20-25% of resources; underestimating it inflates that further</t>
  </si>
  <si>
    <t xml:space="preserve">R6</t>
  </si>
  <si>
    <t xml:space="preserve">User adoption resistance; extended hypercare &amp; retraining</t>
  </si>
  <si>
    <t xml:space="preserve">OCM from day 1; operator champions; pilot line first (phased rollouts show ~85% adoption vs ~45% big-bang)</t>
  </si>
  <si>
    <t xml:space="preserve">Extended hypercare and retraining typically add 4-8% of programme effort</t>
  </si>
  <si>
    <t xml:space="preserve">R7</t>
  </si>
  <si>
    <t xml:space="preserve">OT/IT network &amp; infrastructure not ready (segregation, firewalls, servers)</t>
  </si>
  <si>
    <t xml:space="preserve">Infrastructure readiness checklist at contract; hardware lead-times on critical path plan; cloud/SaaS option where acceptable</t>
  </si>
  <si>
    <t xml:space="preserve">Hardware setup alone can take 3-8 months if not started early - schedule risk converts to effort via idle/replan time</t>
  </si>
  <si>
    <t xml:space="preserve">R8</t>
  </si>
  <si>
    <t xml:space="preserve">Key client SMEs unavailable (production can't release operators/engineers)</t>
  </si>
  <si>
    <t xml:space="preserve">Named SME commitments in contract with % allocation; workshops scheduled around shift patterns; decision-log SLA</t>
  </si>
  <si>
    <t xml:space="preserve">Waiting/rework from slow decisions commonly adds 5-10% on MES projects</t>
  </si>
  <si>
    <t xml:space="preserve">R9</t>
  </si>
  <si>
    <t xml:space="preserve">MES product gaps discovered late; unplanned custom development</t>
  </si>
  <si>
    <t xml:space="preserve">Fit-gap workshop against demo system in design phase; vendor roadmap review; cap custom dev % in contract</t>
  </si>
  <si>
    <t xml:space="preserve">Late-found gaps convert config effort to custom dev at 2-4x unit cost</t>
  </si>
  <si>
    <t xml:space="preserve">R10</t>
  </si>
  <si>
    <t xml:space="preserve">Multi-site rollout reuse factor not achieved (template erodes)</t>
  </si>
  <si>
    <t xml:space="preserve">Template certification after site 1; core-vs-local layer architecture; rollout playbook &amp; flying squad</t>
  </si>
  <si>
    <t xml:space="preserve">If reuse slips from 30% to 60% per site, rollout effort doubles; toggle Y for 3+ site programmes</t>
  </si>
  <si>
    <t xml:space="preserve">TOTAL RISK-DRIVEN CONTINGENCY % (feeds Estimator)</t>
  </si>
  <si>
    <t xml:space="preserve">Method: expected-value contingency (probability x impact). Defaults toggle only the three most common risks (~14%); turn others Y based on discovery findings. For fixed-price bids, consider P75 scenario sizing instead per your CoE pricing POV.</t>
  </si>
  <si>
    <t xml:space="preserve">Estimating Assumptions</t>
  </si>
  <si>
    <t xml:space="preserve">Every number in this workbook rests on these assumptions. Validate each with the customer / bid team; a broken assumption is a change request, not an overrun.</t>
  </si>
  <si>
    <t xml:space="preserve">#</t>
  </si>
  <si>
    <t xml:space="preserve">Category</t>
  </si>
  <si>
    <t xml:space="preserve">Assumption</t>
  </si>
  <si>
    <t xml:space="preserve">A1</t>
  </si>
  <si>
    <t xml:space="preserve">Scope</t>
  </si>
  <si>
    <t xml:space="preserve">Single MES product/platform for all sites; no multi-vendor MES landscape. Functional scope limited to the process areas counted in D1; MOM extensions (APS, LIMS build, WMS build) excluded.</t>
  </si>
  <si>
    <t xml:space="preserve">A2</t>
  </si>
  <si>
    <t xml:space="preserve">Estimate covers implementation services only - software licences, hardware, cloud subscription and third-party (PLC vendor, middleware) costs are excluded.</t>
  </si>
  <si>
    <t xml:space="preserve">A3</t>
  </si>
  <si>
    <t xml:space="preserve">First site is the template site; subsequent sites adopt the certified template with max 20% local variation (drives P3 reuse factor).</t>
  </si>
  <si>
    <t xml:space="preserve">A4</t>
  </si>
  <si>
    <t xml:space="preserve">Volumetrics</t>
  </si>
  <si>
    <t xml:space="preserve">Counts entered on Inputs are validated during discovery; a &gt;15% swing in any driver triggers re-estimation.</t>
  </si>
  <si>
    <t xml:space="preserve">A5</t>
  </si>
  <si>
    <t xml:space="preserve">Equipment</t>
  </si>
  <si>
    <t xml:space="preserve">Machines counted as Simple have working OPC UA endpoints and tag documentation; client provides PLC programmer access for Medium/Complex machines.</t>
  </si>
  <si>
    <t xml:space="preserve">A6</t>
  </si>
  <si>
    <t xml:space="preserve">Integration</t>
  </si>
  <si>
    <t xml:space="preserve">ERP (e.g., SAP/Oracle) is stable - no parallel ERP transformation changing interface contracts mid-flight; standard connectors available for the MES product.</t>
  </si>
  <si>
    <t xml:space="preserve">A7</t>
  </si>
  <si>
    <t xml:space="preserve">Data</t>
  </si>
  <si>
    <t xml:space="preserve">Client owns data cleansing; our effort covers extraction spec, transformation, load and reconciliation only. Historical data migration limited to open orders + master data (no full history).</t>
  </si>
  <si>
    <t xml:space="preserve">A8</t>
  </si>
  <si>
    <t xml:space="preserve">Validation</t>
  </si>
  <si>
    <t xml:space="preserve">WP-10 uplift assumes risk-based CSV with vendor qualification packs available; full GAMP 5 Category 5 treatment of custom objects only.</t>
  </si>
  <si>
    <t xml:space="preserve">A9</t>
  </si>
  <si>
    <t xml:space="preserve">Testing</t>
  </si>
  <si>
    <t xml:space="preserve">Client provides UAT testers and test data; one full SIT cycle + one regression cycle included; additional cycles are change requests.</t>
  </si>
  <si>
    <t xml:space="preserve">A10</t>
  </si>
  <si>
    <t xml:space="preserve">Team</t>
  </si>
  <si>
    <t xml:space="preserve">Blended onsite/offshore delivery; unit hours assume experienced MES practitioners (not first-project learners). Productivity per P4 = 152 hrs/person-month.</t>
  </si>
  <si>
    <t xml:space="preserve">A11</t>
  </si>
  <si>
    <t xml:space="preserve">Schedule</t>
  </si>
  <si>
    <t xml:space="preserve">Elapsed duration assumes client decision SLA of 5 working days and no plant shutdown blackout periods longer than 2 weeks during deployment windows.</t>
  </si>
  <si>
    <t xml:space="preserve">A12</t>
  </si>
  <si>
    <t xml:space="preserve">Infrastructure</t>
  </si>
  <si>
    <t xml:space="preserve">Environments (DEV/QA/PROD) available per WP-13 plan; OT network segregation/firewall changes are client-side with 8-week max lead time.</t>
  </si>
  <si>
    <t xml:space="preserve">A13</t>
  </si>
  <si>
    <t xml:space="preserve">Hypercare</t>
  </si>
  <si>
    <t xml:space="preserve">4 weeks hypercare included (WP-12b); steady-state AMS/support is a separate engagement and estimate.</t>
  </si>
  <si>
    <t xml:space="preserve">A14</t>
  </si>
  <si>
    <t xml:space="preserve">Commercial</t>
  </si>
  <si>
    <t xml:space="preserve">Effort is in person-hours, currency-neutral; apply role rates separately. Contingency is included in grand total - do not double-count in pricing.</t>
  </si>
  <si>
    <t xml:space="preserve">A15</t>
  </si>
  <si>
    <t xml:space="preserve">Benchmarks</t>
  </si>
  <si>
    <t xml:space="preserve">Unit-effort values are CoE heuristics anchored to cited public sources; they must be recalibrated against estimate-vs-actual data after each project (CoE calibration loop).</t>
  </si>
  <si>
    <t xml:space="preserve">Benchmark Provenance &amp; Citations</t>
  </si>
  <si>
    <t xml:space="preserve">What each Src ID on the Estimator rests on. 'Public' = verifiable published data point; 'SME heuristic' = CoE expert judgement decomposing that anchor to unit level. Retrieved 22-Jul-2026.</t>
  </si>
  <si>
    <t xml:space="preserve">Benchmark data point</t>
  </si>
  <si>
    <t xml:space="preserve">How it is used in this template</t>
  </si>
  <si>
    <t xml:space="preserve">Type</t>
  </si>
  <si>
    <t xml:space="preserve">Source (publisher, URL)</t>
  </si>
  <si>
    <t xml:space="preserve">Validated MES template cuts rollout hours by ~70% - from ~1,000 hrs on the first site to ~300 hrs on subsequent sites</t>
  </si>
  <si>
    <t xml:space="preserve">Anchors WP-14 default reuse factor P3 = 30%, and sanity-checks per-workflow config hours (a 1,000-hr site rollout across ~15-25 workflows implies ~25-60 hrs/workflow, matching WP-04 S/M bands)</t>
  </si>
  <si>
    <t xml:space="preserve">Public</t>
  </si>
  <si>
    <t xml:space="preserve">IIoT World / Critical Manufacturing, '5 Steps to a Successful Multisite MES Implementation', https://www.iiot-world.com/smart-manufacturing/discrete-manufacturing/multisite-mes-implementation-steps/</t>
  </si>
  <si>
    <t xml:space="preserve">Modern equipment with OPC UA interfaces can be connected in a few hours; legacy machines need gateways/standardised connectors (e.g., 300+ segments across press/welding/assembly and multiple control generations)</t>
  </si>
  <si>
    <t xml:space="preserve">Anchors WP-05 Simple band at 8 hrs (connect + tag map + verify) and justifies the steep S-&gt;C gradient for legacy protocols</t>
  </si>
  <si>
    <t xml:space="preserve">Symestic, 'MES System Prices 2026' &amp; 'MES Software Compared 2026', https://www.symestic.com/en-us/blog/mes-system-prices-2026 ; https://www.symestic.com/en-us/blog/mes/mes-software</t>
  </si>
  <si>
    <t xml:space="preserve">Single-site traditional MES projects run ~6-18 months to productive use; small-manufacturer rollouts 6-12 months; ~$800k average EU/US project with most variation in services &amp; integration, not licences</t>
  </si>
  <si>
    <t xml:space="preserve">Anchors WP-02/03 per-process-area design hours and the overall envelope: default inputs produce a first-site total consistent with a 6-12 month, mid-size team programme</t>
  </si>
  <si>
    <t xml:space="preserve">Symestic (prices 2026); Epoptia, 'Implementing an MES: A Practical Guide from 100+ Installations', https://epoptia.com/implementing-an-mes-practical-guide/ ; OEE Tools, 'Rough Cost Estimation of MES Implementation by Region', https://oeetools.com/blog/mes-implementation-costs-2025-12-09</t>
  </si>
  <si>
    <t xml:space="preserve">Phased pilots deliver ROI in 3-6 months; phased implementations reach ~85% user adoption vs ~45% for big-bang</t>
  </si>
  <si>
    <t xml:space="preserve">Anchors WP-11 training hours per user group and risk R6 (adoption) probability/impact</t>
  </si>
  <si>
    <t xml:space="preserve">Shoplogix, 'Phased MES Implementation Approach', https://shoplogix.com/phased-mes-implementation-approach/</t>
  </si>
  <si>
    <t xml:space="preserve">Pharma MES: 12-18 months single-site; resource split ~60-70% technical, 20-25% validation &amp; compliance, 10-15% change mgmt &amp; training; mid-size facility implementation cost $1.5-3M; documented $400k+ loss from inadequate scoping</t>
  </si>
  <si>
    <t xml:space="preserve">Anchors WP-10 validation uplift (22% of build), the Role Mapping cross-check, Duration sanity check for regulated projects, and risk R3 impact</t>
  </si>
  <si>
    <t xml:space="preserve">GMP Pros, 'MES Implementation Project Plan' &amp; 'MES Implementation Guide for Pharma', https://gmppros.com/mes-implementation-project-plan/ ; https://gmppros.com/mes-implementation-pharma/</t>
  </si>
  <si>
    <t xml:space="preserve">Unit-level decomposition of the above anchors into per-object hours (interfaces, custom objects, data objects, reports, PM %, testing %, cutover %, infra lump sum)</t>
  </si>
  <si>
    <t xml:space="preserve">Where no public per-unit norm exists, CoE expert judgement allocates the publicly evidenced project-level envelopes to work-package unit hours; calibrate with estimate-vs-actual data</t>
  </si>
  <si>
    <t xml:space="preserve">SME heuristic</t>
  </si>
  <si>
    <t xml:space="preserve">Estimation CoE delivery experience (SAP/MES/modernisation programmes); recalibrate via CoE calibration loop</t>
  </si>
  <si>
    <t xml:space="preserve">S7</t>
  </si>
  <si>
    <t xml:space="preserve">Common rollout-time inflators: hard-coding, funding gaps, over-complication, per-facility scope creep; 25-site x 6-month rollouts are untenable without template discipline</t>
  </si>
  <si>
    <t xml:space="preserve">Anchors risks R2 and R10 and the template-governance guidance on Complexity Guidelines sheet</t>
  </si>
  <si>
    <t xml:space="preserve">Sepasoft, '14 Steps for a Successful MES Implementation', https://www.sepasoft.com/blog/mes-implementation/14-steps-for-a-successful-mes-implementation/</t>
  </si>
  <si>
    <t xml:space="preserve">Caveat</t>
  </si>
  <si>
    <t xml:space="preserve">No public body (ISBSG, MESA, Gartner) publishes free per-work-package MES unit-effort norms; published data is at project cost/duration level. Treat all unit hours as calibratable priors, not certified benchmarks.</t>
  </si>
</sst>
</file>

<file path=xl/styles.xml><?xml version="1.0" encoding="utf-8"?>
<styleSheet xmlns="http://schemas.openxmlformats.org/spreadsheetml/2006/main">
  <numFmts count="9">
    <numFmt numFmtId="164" formatCode="General"/>
    <numFmt numFmtId="165" formatCode="0"/>
    <numFmt numFmtId="166" formatCode="0%"/>
    <numFmt numFmtId="167" formatCode="#,##0"/>
    <numFmt numFmtId="168" formatCode="#,##0.0"/>
    <numFmt numFmtId="169" formatCode="0.0"/>
    <numFmt numFmtId="170" formatCode="0.00"/>
    <numFmt numFmtId="171" formatCode="0.0&quot; mo&quot;"/>
    <numFmt numFmtId="172" formatCode="0.0%"/>
  </numFmts>
  <fonts count="1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595959"/>
      <name val="Arial"/>
      <family val="0"/>
      <charset val="1"/>
    </font>
    <font>
      <b val="true"/>
      <sz val="10"/>
      <name val="Arial"/>
      <family val="0"/>
      <charset val="1"/>
    </font>
    <font>
      <sz val="10"/>
      <name val="Arial"/>
      <family val="0"/>
      <charset val="1"/>
    </font>
    <font>
      <sz val="10"/>
      <color rgb="FF0000FF"/>
      <name val="Arial"/>
      <family val="0"/>
      <charset val="1"/>
    </font>
    <font>
      <sz val="10"/>
      <color rgb="FF008000"/>
      <name val="Arial"/>
      <family val="0"/>
      <charset val="1"/>
    </font>
    <font>
      <b val="true"/>
      <sz val="10"/>
      <color rgb="FFFFFFFF"/>
      <name val="Arial"/>
      <family val="0"/>
      <charset val="1"/>
    </font>
    <font>
      <b val="true"/>
      <sz val="10"/>
      <color rgb="FF0000FF"/>
      <name val="Arial"/>
      <family val="0"/>
      <charset val="1"/>
    </font>
    <font>
      <b val="true"/>
      <sz val="11"/>
      <color rgb="FFFFFFFF"/>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D9E2F3"/>
        <bgColor rgb="FFE2EFDA"/>
      </patternFill>
    </fill>
    <fill>
      <patternFill patternType="solid">
        <fgColor rgb="FFFFFF00"/>
        <bgColor rgb="FFFFFF00"/>
      </patternFill>
    </fill>
    <fill>
      <patternFill patternType="solid">
        <fgColor rgb="FFFCE4D6"/>
        <bgColor rgb="FFF2F2F2"/>
      </patternFill>
    </fill>
    <fill>
      <patternFill patternType="solid">
        <fgColor rgb="FF2F5496"/>
        <bgColor rgb="FF1F3864"/>
      </patternFill>
    </fill>
    <fill>
      <patternFill patternType="solid">
        <fgColor rgb="FFF2F2F2"/>
        <bgColor rgb="FFE2EFDA"/>
      </patternFill>
    </fill>
    <fill>
      <patternFill patternType="solid">
        <fgColor rgb="FFE2EFDA"/>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5" fontId="8" fillId="4" borderId="1" xfId="0" applyFont="true" applyBorder="true" applyAlignment="true" applyProtection="false">
      <alignment horizontal="center" vertical="center" textRotation="0" wrapText="false" indent="0" shrinkToFit="false"/>
      <protection locked="true" hidden="false"/>
    </xf>
    <xf numFmtId="165" fontId="6" fillId="7"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center" vertical="center" textRotation="0" wrapText="false" indent="0" shrinkToFit="false"/>
      <protection locked="true" hidden="false"/>
    </xf>
    <xf numFmtId="165" fontId="11" fillId="4" borderId="1" xfId="0" applyFont="true" applyBorder="true" applyAlignment="true" applyProtection="false">
      <alignment horizontal="center" vertical="center" textRotation="0" wrapText="false" indent="0" shrinkToFit="false"/>
      <protection locked="true" hidden="false"/>
    </xf>
    <xf numFmtId="166" fontId="11" fillId="4"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5" fontId="9" fillId="0" borderId="1" xfId="0" applyFont="true" applyBorder="true" applyAlignment="true" applyProtection="false">
      <alignment horizontal="center" vertical="center"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7"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7" fontId="6" fillId="3" borderId="1"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7" fontId="6" fillId="8" borderId="1"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true" applyProtection="false">
      <alignment horizontal="general" vertical="top" textRotation="0" wrapText="true" indent="0" shrinkToFit="false"/>
      <protection locked="true" hidden="false"/>
    </xf>
    <xf numFmtId="167" fontId="9" fillId="0"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12" fillId="2" borderId="1" xfId="0" applyFont="true" applyBorder="true" applyAlignment="true" applyProtection="false">
      <alignment horizontal="general" vertical="top" textRotation="0" wrapText="true" indent="0" shrinkToFit="false"/>
      <protection locked="true" hidden="false"/>
    </xf>
    <xf numFmtId="167" fontId="12" fillId="2" borderId="1" xfId="0" applyFont="true" applyBorder="true" applyAlignment="true" applyProtection="false">
      <alignment horizontal="general" vertical="top" textRotation="0" wrapText="true" indent="0" shrinkToFit="false"/>
      <protection locked="true" hidden="false"/>
    </xf>
    <xf numFmtId="168" fontId="6" fillId="0" borderId="1" xfId="0" applyFont="true" applyBorder="true" applyAlignment="true" applyProtection="false">
      <alignment horizontal="general" vertical="top" textRotation="0" wrapText="true" indent="0" shrinkToFit="false"/>
      <protection locked="true" hidden="false"/>
    </xf>
    <xf numFmtId="169" fontId="7" fillId="0" borderId="1" xfId="0" applyFont="true" applyBorder="true" applyAlignment="true" applyProtection="false">
      <alignment horizontal="center" vertical="center" textRotation="0" wrapText="false" indent="0" shrinkToFit="false"/>
      <protection locked="true" hidden="false"/>
    </xf>
    <xf numFmtId="170" fontId="9" fillId="0" borderId="1" xfId="0" applyFont="true" applyBorder="true" applyAlignment="true" applyProtection="false">
      <alignment horizontal="center" vertical="center" textRotation="0" wrapText="false" indent="0" shrinkToFit="false"/>
      <protection locked="true" hidden="false"/>
    </xf>
    <xf numFmtId="166" fontId="6" fillId="3" borderId="1" xfId="0" applyFont="true" applyBorder="true" applyAlignment="true" applyProtection="false">
      <alignment horizontal="center" vertical="center" textRotation="0" wrapText="false" indent="0" shrinkToFit="false"/>
      <protection locked="true" hidden="false"/>
    </xf>
    <xf numFmtId="169" fontId="6" fillId="3" borderId="1" xfId="0" applyFont="true" applyBorder="true" applyAlignment="true" applyProtection="false">
      <alignment horizontal="center" vertical="center" textRotation="0" wrapText="false" indent="0" shrinkToFit="false"/>
      <protection locked="true" hidden="false"/>
    </xf>
    <xf numFmtId="170" fontId="6" fillId="3" borderId="1" xfId="0" applyFont="true" applyBorder="true" applyAlignment="true" applyProtection="false">
      <alignment horizontal="center" vertical="center" textRotation="0" wrapText="false" indent="0" shrinkToFit="false"/>
      <protection locked="true" hidden="false"/>
    </xf>
    <xf numFmtId="169" fontId="12" fillId="2" borderId="1" xfId="0" applyFont="true" applyBorder="true" applyAlignment="true" applyProtection="false">
      <alignment horizontal="center" vertical="center" textRotation="0" wrapText="false" indent="0" shrinkToFit="false"/>
      <protection locked="true" hidden="false"/>
    </xf>
    <xf numFmtId="171" fontId="12" fillId="2" borderId="1" xfId="0" applyFont="true" applyBorder="true" applyAlignment="true" applyProtection="false">
      <alignment horizontal="center" vertical="center" textRotation="0" wrapText="false" indent="0" shrinkToFit="false"/>
      <protection locked="true" hidden="false"/>
    </xf>
    <xf numFmtId="172" fontId="7" fillId="0" borderId="1" xfId="0" applyFont="true" applyBorder="true" applyAlignment="true" applyProtection="false">
      <alignment horizontal="center" vertical="center" textRotation="0" wrapText="false" indent="0" shrinkToFit="false"/>
      <protection locked="true" hidden="false"/>
    </xf>
    <xf numFmtId="172" fontId="6" fillId="3" borderId="1" xfId="0" applyFont="true" applyBorder="true" applyAlignment="true" applyProtection="false">
      <alignment horizontal="center" vertical="center" textRotation="0" wrapText="false" indent="0" shrinkToFit="false"/>
      <protection locked="true" hidden="false"/>
    </xf>
    <xf numFmtId="164" fontId="6" fillId="8" borderId="1" xfId="0" applyFont="true" applyBorder="true" applyAlignment="true" applyProtection="false">
      <alignment horizontal="center" vertical="center" textRotation="0" wrapText="false" indent="0" shrinkToFit="false"/>
      <protection locked="true" hidden="false"/>
    </xf>
    <xf numFmtId="164" fontId="5" fillId="5"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95"/>
    <col collapsed="false" customWidth="true" hidden="false" outlineLevel="0" max="3" min="3" style="1" width="20"/>
  </cols>
  <sheetData>
    <row r="1" customFormat="false" ht="25.5" hidden="false" customHeight="true" outlineLevel="0" collapsed="false">
      <c r="A1" s="2" t="s">
        <v>0</v>
      </c>
      <c r="B1" s="2"/>
      <c r="C1" s="2"/>
    </row>
    <row r="2" customFormat="false" ht="27.75" hidden="false" customHeight="true" outlineLevel="0" collapsed="false">
      <c r="A2" s="3" t="s">
        <v>1</v>
      </c>
      <c r="B2" s="3"/>
      <c r="C2" s="3"/>
    </row>
    <row r="4" customFormat="false" ht="15" hidden="false" customHeight="true" outlineLevel="0" collapsed="false">
      <c r="A4" s="4" t="s">
        <v>2</v>
      </c>
      <c r="B4" s="4"/>
      <c r="C4" s="4"/>
    </row>
    <row r="5" customFormat="false" ht="23.25" hidden="false" customHeight="true" outlineLevel="0" collapsed="false">
      <c r="A5" s="5" t="s">
        <v>3</v>
      </c>
      <c r="B5" s="6" t="s">
        <v>4</v>
      </c>
    </row>
    <row r="6" customFormat="false" ht="23.25" hidden="false" customHeight="true" outlineLevel="0" collapsed="false">
      <c r="A6" s="5" t="s">
        <v>5</v>
      </c>
      <c r="B6" s="6" t="s">
        <v>6</v>
      </c>
    </row>
    <row r="7" customFormat="false" ht="23.25" hidden="false" customHeight="true" outlineLevel="0" collapsed="false">
      <c r="A7" s="5" t="s">
        <v>7</v>
      </c>
      <c r="B7" s="6" t="s">
        <v>8</v>
      </c>
    </row>
    <row r="8" customFormat="false" ht="23.25" hidden="false" customHeight="true" outlineLevel="0" collapsed="false">
      <c r="A8" s="5" t="s">
        <v>9</v>
      </c>
      <c r="B8" s="6" t="s">
        <v>10</v>
      </c>
    </row>
    <row r="9" customFormat="false" ht="15" hidden="false" customHeight="true" outlineLevel="0" collapsed="false">
      <c r="A9" s="5" t="s">
        <v>11</v>
      </c>
      <c r="B9" s="6" t="s">
        <v>12</v>
      </c>
    </row>
    <row r="11" customFormat="false" ht="15" hidden="false" customHeight="true" outlineLevel="0" collapsed="false">
      <c r="A11" s="4" t="s">
        <v>13</v>
      </c>
      <c r="B11" s="4"/>
      <c r="C11" s="4"/>
    </row>
    <row r="12" customFormat="false" ht="15" hidden="false" customHeight="true" outlineLevel="0" collapsed="false">
      <c r="A12" s="7" t="s">
        <v>14</v>
      </c>
      <c r="B12" s="6" t="s">
        <v>15</v>
      </c>
    </row>
    <row r="13" customFormat="false" ht="15" hidden="false" customHeight="true" outlineLevel="0" collapsed="false">
      <c r="A13" s="8" t="s">
        <v>16</v>
      </c>
      <c r="B13" s="6" t="s">
        <v>17</v>
      </c>
    </row>
    <row r="14" customFormat="false" ht="15" hidden="false" customHeight="true" outlineLevel="0" collapsed="false">
      <c r="A14" s="6" t="s">
        <v>18</v>
      </c>
      <c r="B14" s="6" t="s">
        <v>19</v>
      </c>
    </row>
    <row r="15" customFormat="false" ht="15" hidden="false" customHeight="true" outlineLevel="0" collapsed="false">
      <c r="A15" s="9" t="s">
        <v>20</v>
      </c>
      <c r="B15" s="6" t="s">
        <v>21</v>
      </c>
    </row>
    <row r="17" customFormat="false" ht="15" hidden="false" customHeight="true" outlineLevel="0" collapsed="false">
      <c r="A17" s="4" t="s">
        <v>22</v>
      </c>
      <c r="B17" s="4"/>
      <c r="C17" s="4"/>
    </row>
    <row r="18" customFormat="false" ht="15" hidden="false" customHeight="true" outlineLevel="0" collapsed="false">
      <c r="A18" s="5" t="s">
        <v>23</v>
      </c>
      <c r="B18" s="6" t="s">
        <v>24</v>
      </c>
    </row>
    <row r="19" customFormat="false" ht="15" hidden="false" customHeight="true" outlineLevel="0" collapsed="false">
      <c r="A19" s="5" t="s">
        <v>25</v>
      </c>
      <c r="B19" s="6" t="s">
        <v>26</v>
      </c>
    </row>
    <row r="20" customFormat="false" ht="15" hidden="false" customHeight="true" outlineLevel="0" collapsed="false">
      <c r="A20" s="5" t="s">
        <v>27</v>
      </c>
      <c r="B20" s="6" t="s">
        <v>28</v>
      </c>
    </row>
    <row r="21" customFormat="false" ht="15" hidden="false" customHeight="true" outlineLevel="0" collapsed="false">
      <c r="A21" s="5" t="s">
        <v>29</v>
      </c>
      <c r="B21" s="6" t="s">
        <v>30</v>
      </c>
    </row>
    <row r="22" customFormat="false" ht="15" hidden="false" customHeight="true" outlineLevel="0" collapsed="false">
      <c r="A22" s="5" t="s">
        <v>31</v>
      </c>
      <c r="B22" s="6" t="s">
        <v>32</v>
      </c>
    </row>
    <row r="23" customFormat="false" ht="15" hidden="false" customHeight="true" outlineLevel="0" collapsed="false">
      <c r="A23" s="5" t="s">
        <v>33</v>
      </c>
      <c r="B23" s="6" t="s">
        <v>34</v>
      </c>
    </row>
    <row r="24" customFormat="false" ht="15" hidden="false" customHeight="true" outlineLevel="0" collapsed="false">
      <c r="A24" s="5" t="s">
        <v>35</v>
      </c>
      <c r="B24" s="6" t="s">
        <v>36</v>
      </c>
    </row>
    <row r="25" customFormat="false" ht="15" hidden="false" customHeight="true" outlineLevel="0" collapsed="false">
      <c r="A25" s="5" t="s">
        <v>37</v>
      </c>
      <c r="B25" s="6" t="s">
        <v>38</v>
      </c>
    </row>
    <row r="27" customFormat="false" ht="34.5" hidden="false" customHeight="true" outlineLevel="0" collapsed="false">
      <c r="A27" s="10" t="s">
        <v>39</v>
      </c>
      <c r="B27" s="11" t="s">
        <v>40</v>
      </c>
    </row>
  </sheetData>
  <mergeCells count="5">
    <mergeCell ref="A1:C1"/>
    <mergeCell ref="A2:C2"/>
    <mergeCell ref="A4:C4"/>
    <mergeCell ref="A11:C11"/>
    <mergeCell ref="A17:C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5" min="2" style="1" width="12"/>
    <col collapsed="false" customWidth="true" hidden="false" outlineLevel="0" max="6" min="6" style="1" width="60"/>
  </cols>
  <sheetData>
    <row r="1" customFormat="false" ht="25.5" hidden="false" customHeight="true" outlineLevel="0" collapsed="false">
      <c r="A1" s="2" t="s">
        <v>41</v>
      </c>
      <c r="B1" s="2"/>
      <c r="C1" s="2"/>
      <c r="D1" s="2"/>
      <c r="E1" s="2"/>
      <c r="F1" s="2"/>
    </row>
    <row r="2" customFormat="false" ht="27.75" hidden="false" customHeight="true" outlineLevel="0" collapsed="false">
      <c r="A2" s="3" t="s">
        <v>42</v>
      </c>
      <c r="B2" s="3"/>
      <c r="C2" s="3"/>
      <c r="D2" s="3"/>
      <c r="E2" s="3"/>
      <c r="F2" s="3"/>
    </row>
    <row r="4" customFormat="false" ht="15" hidden="false" customHeight="true" outlineLevel="0" collapsed="false">
      <c r="A4" s="12" t="s">
        <v>43</v>
      </c>
      <c r="B4" s="12" t="s">
        <v>44</v>
      </c>
      <c r="C4" s="12" t="s">
        <v>45</v>
      </c>
      <c r="D4" s="12" t="s">
        <v>46</v>
      </c>
      <c r="E4" s="12" t="s">
        <v>47</v>
      </c>
      <c r="F4" s="12" t="s">
        <v>48</v>
      </c>
    </row>
    <row r="5" customFormat="false" ht="23.25" hidden="false" customHeight="true" outlineLevel="0" collapsed="false">
      <c r="A5" s="6" t="s">
        <v>49</v>
      </c>
      <c r="B5" s="13" t="n">
        <v>2</v>
      </c>
      <c r="C5" s="13" t="n">
        <v>3</v>
      </c>
      <c r="D5" s="13" t="n">
        <v>1</v>
      </c>
      <c r="E5" s="14" t="n">
        <f aca="false">SUM(B5:D5)</f>
        <v>6</v>
      </c>
      <c r="F5" s="15" t="s">
        <v>50</v>
      </c>
    </row>
    <row r="6" customFormat="false" ht="15" hidden="false" customHeight="true" outlineLevel="0" collapsed="false">
      <c r="A6" s="6" t="s">
        <v>51</v>
      </c>
      <c r="B6" s="13" t="n">
        <v>8</v>
      </c>
      <c r="C6" s="13" t="n">
        <v>10</v>
      </c>
      <c r="D6" s="13" t="n">
        <v>4</v>
      </c>
      <c r="E6" s="14" t="n">
        <f aca="false">SUM(B6:D6)</f>
        <v>22</v>
      </c>
      <c r="F6" s="15" t="s">
        <v>52</v>
      </c>
    </row>
    <row r="7" customFormat="false" ht="21.75" hidden="false" customHeight="true" outlineLevel="0" collapsed="false">
      <c r="A7" s="6" t="s">
        <v>53</v>
      </c>
      <c r="B7" s="13" t="n">
        <v>20</v>
      </c>
      <c r="C7" s="13" t="n">
        <v>15</v>
      </c>
      <c r="D7" s="13" t="n">
        <v>5</v>
      </c>
      <c r="E7" s="14" t="n">
        <f aca="false">SUM(B7:D7)</f>
        <v>40</v>
      </c>
      <c r="F7" s="15" t="s">
        <v>54</v>
      </c>
    </row>
    <row r="8" customFormat="false" ht="23.25" hidden="false" customHeight="true" outlineLevel="0" collapsed="false">
      <c r="A8" s="6" t="s">
        <v>55</v>
      </c>
      <c r="B8" s="13" t="n">
        <v>3</v>
      </c>
      <c r="C8" s="13" t="n">
        <v>4</v>
      </c>
      <c r="D8" s="13" t="n">
        <v>2</v>
      </c>
      <c r="E8" s="14" t="n">
        <f aca="false">SUM(B8:D8)</f>
        <v>9</v>
      </c>
      <c r="F8" s="15" t="s">
        <v>56</v>
      </c>
    </row>
    <row r="9" customFormat="false" ht="23.25" hidden="false" customHeight="true" outlineLevel="0" collapsed="false">
      <c r="A9" s="6" t="s">
        <v>57</v>
      </c>
      <c r="B9" s="13" t="n">
        <v>6</v>
      </c>
      <c r="C9" s="13" t="n">
        <v>8</v>
      </c>
      <c r="D9" s="13" t="n">
        <v>3</v>
      </c>
      <c r="E9" s="14" t="n">
        <f aca="false">SUM(B9:D9)</f>
        <v>17</v>
      </c>
      <c r="F9" s="15" t="s">
        <v>58</v>
      </c>
    </row>
    <row r="10" customFormat="false" ht="15" hidden="false" customHeight="true" outlineLevel="0" collapsed="false">
      <c r="A10" s="6" t="s">
        <v>59</v>
      </c>
      <c r="B10" s="13" t="n">
        <v>4</v>
      </c>
      <c r="C10" s="13" t="n">
        <v>4</v>
      </c>
      <c r="D10" s="13" t="n">
        <v>2</v>
      </c>
      <c r="E10" s="14" t="n">
        <f aca="false">SUM(B10:D10)</f>
        <v>10</v>
      </c>
      <c r="F10" s="15" t="s">
        <v>60</v>
      </c>
    </row>
    <row r="11" customFormat="false" ht="15" hidden="false" customHeight="true" outlineLevel="0" collapsed="false">
      <c r="A11" s="6" t="s">
        <v>61</v>
      </c>
      <c r="B11" s="13" t="n">
        <v>6</v>
      </c>
      <c r="C11" s="13" t="n">
        <v>5</v>
      </c>
      <c r="D11" s="13" t="n">
        <v>2</v>
      </c>
      <c r="E11" s="14" t="n">
        <f aca="false">SUM(B11:D11)</f>
        <v>13</v>
      </c>
      <c r="F11" s="15" t="s">
        <v>62</v>
      </c>
    </row>
    <row r="12" customFormat="false" ht="15" hidden="false" customHeight="true" outlineLevel="0" collapsed="false">
      <c r="A12" s="6" t="s">
        <v>63</v>
      </c>
      <c r="B12" s="13" t="n">
        <v>4</v>
      </c>
      <c r="C12" s="13" t="n">
        <v>3</v>
      </c>
      <c r="D12" s="13" t="n">
        <v>1</v>
      </c>
      <c r="E12" s="14" t="n">
        <f aca="false">SUM(B12:D12)</f>
        <v>8</v>
      </c>
      <c r="F12" s="15" t="s">
        <v>64</v>
      </c>
    </row>
    <row r="14" customFormat="false" ht="15" hidden="false" customHeight="true" outlineLevel="0" collapsed="false">
      <c r="A14" s="12" t="s">
        <v>65</v>
      </c>
      <c r="B14" s="12" t="s">
        <v>66</v>
      </c>
      <c r="C14" s="12"/>
      <c r="D14" s="12"/>
      <c r="E14" s="12"/>
      <c r="F14" s="12" t="s">
        <v>48</v>
      </c>
    </row>
    <row r="15" customFormat="false" ht="15" hidden="false" customHeight="true" outlineLevel="0" collapsed="false">
      <c r="A15" s="6" t="s">
        <v>67</v>
      </c>
      <c r="B15" s="16" t="s">
        <v>68</v>
      </c>
      <c r="F15" s="15" t="s">
        <v>69</v>
      </c>
    </row>
    <row r="16" customFormat="false" ht="15" hidden="false" customHeight="true" outlineLevel="0" collapsed="false">
      <c r="A16" s="6" t="s">
        <v>70</v>
      </c>
      <c r="B16" s="17" t="n">
        <v>2</v>
      </c>
      <c r="F16" s="15" t="s">
        <v>71</v>
      </c>
    </row>
    <row r="17" customFormat="false" ht="23.25" hidden="false" customHeight="true" outlineLevel="0" collapsed="false">
      <c r="A17" s="6" t="s">
        <v>72</v>
      </c>
      <c r="B17" s="18" t="n">
        <v>0.3</v>
      </c>
      <c r="F17" s="15" t="s">
        <v>73</v>
      </c>
    </row>
    <row r="18" customFormat="false" ht="15" hidden="false" customHeight="true" outlineLevel="0" collapsed="false">
      <c r="A18" s="6" t="s">
        <v>74</v>
      </c>
      <c r="B18" s="17" t="n">
        <v>152</v>
      </c>
      <c r="F18" s="15" t="s">
        <v>75</v>
      </c>
    </row>
    <row r="19" customFormat="false" ht="15" hidden="false" customHeight="true" outlineLevel="0" collapsed="false">
      <c r="A19" s="6" t="s">
        <v>76</v>
      </c>
      <c r="B19" s="17" t="n">
        <v>8</v>
      </c>
      <c r="F19" s="15" t="s">
        <v>77</v>
      </c>
    </row>
    <row r="20" customFormat="false" ht="23.25" hidden="false" customHeight="true" outlineLevel="0" collapsed="false">
      <c r="A20" s="6" t="s">
        <v>78</v>
      </c>
      <c r="B20" s="18" t="n">
        <v>0.05</v>
      </c>
      <c r="F20" s="15" t="s">
        <v>79</v>
      </c>
    </row>
    <row r="22" customFormat="false" ht="15" hidden="false" customHeight="true" outlineLevel="0" collapsed="false">
      <c r="A22" s="15" t="s">
        <v>80</v>
      </c>
      <c r="B22" s="15"/>
      <c r="C22" s="15"/>
      <c r="D22" s="15"/>
      <c r="E22" s="15"/>
      <c r="F22" s="15"/>
    </row>
  </sheetData>
  <mergeCells count="3">
    <mergeCell ref="A1:F1"/>
    <mergeCell ref="A2:F2"/>
    <mergeCell ref="A22:F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2"/>
    <col collapsed="false" customWidth="true" hidden="false" outlineLevel="0" max="3" min="3" style="1" width="26"/>
    <col collapsed="false" customWidth="true" hidden="false" outlineLevel="0" max="6" min="4" style="1" width="9"/>
    <col collapsed="false" customWidth="true" hidden="false" outlineLevel="0" max="9" min="7" style="1" width="10"/>
    <col collapsed="false" customWidth="true" hidden="false" outlineLevel="0" max="10" min="10" style="1" width="12"/>
    <col collapsed="false" customWidth="true" hidden="false" outlineLevel="0" max="11" min="11" style="1" width="8"/>
    <col collapsed="false" customWidth="true" hidden="false" outlineLevel="0" max="12" min="12" style="1" width="50"/>
  </cols>
  <sheetData>
    <row r="1" customFormat="false" ht="25.5" hidden="false" customHeight="true" outlineLevel="0" collapsed="false">
      <c r="A1" s="2" t="s">
        <v>81</v>
      </c>
      <c r="B1" s="2"/>
      <c r="C1" s="2"/>
      <c r="D1" s="2"/>
      <c r="E1" s="2"/>
      <c r="F1" s="2"/>
      <c r="G1" s="2"/>
      <c r="H1" s="2"/>
      <c r="I1" s="2"/>
      <c r="J1" s="2"/>
      <c r="K1" s="2"/>
      <c r="L1" s="2"/>
    </row>
    <row r="2" customFormat="false" ht="27.75" hidden="false" customHeight="true" outlineLevel="0" collapsed="false">
      <c r="A2" s="3" t="s">
        <v>82</v>
      </c>
      <c r="B2" s="3"/>
      <c r="C2" s="3"/>
      <c r="D2" s="3"/>
      <c r="E2" s="3"/>
      <c r="F2" s="3"/>
      <c r="G2" s="3"/>
      <c r="H2" s="3"/>
      <c r="I2" s="3"/>
      <c r="J2" s="3"/>
      <c r="K2" s="3"/>
      <c r="L2" s="3"/>
    </row>
    <row r="4" customFormat="false" ht="15" hidden="false" customHeight="true" outlineLevel="0" collapsed="false">
      <c r="A4" s="12" t="s">
        <v>83</v>
      </c>
      <c r="B4" s="12" t="s">
        <v>84</v>
      </c>
      <c r="C4" s="12" t="s">
        <v>85</v>
      </c>
      <c r="D4" s="12" t="s">
        <v>86</v>
      </c>
      <c r="E4" s="12" t="s">
        <v>87</v>
      </c>
      <c r="F4" s="12" t="s">
        <v>88</v>
      </c>
      <c r="G4" s="12" t="s">
        <v>89</v>
      </c>
      <c r="H4" s="12" t="s">
        <v>90</v>
      </c>
      <c r="I4" s="12" t="s">
        <v>91</v>
      </c>
      <c r="J4" s="12" t="s">
        <v>92</v>
      </c>
      <c r="K4" s="12" t="s">
        <v>93</v>
      </c>
      <c r="L4" s="12" t="s">
        <v>94</v>
      </c>
    </row>
    <row r="5" customFormat="false" ht="32.25" hidden="false" customHeight="true" outlineLevel="0" collapsed="false">
      <c r="A5" s="19" t="s">
        <v>95</v>
      </c>
      <c r="B5" s="6" t="s">
        <v>96</v>
      </c>
      <c r="C5" s="15" t="s">
        <v>97</v>
      </c>
      <c r="D5" s="20" t="n">
        <f aca="false">Inputs!B$5</f>
        <v>2</v>
      </c>
      <c r="E5" s="20" t="n">
        <f aca="false">Inputs!C$5</f>
        <v>3</v>
      </c>
      <c r="F5" s="20" t="n">
        <f aca="false">Inputs!D$5</f>
        <v>1</v>
      </c>
      <c r="G5" s="21" t="n">
        <v>80</v>
      </c>
      <c r="H5" s="21" t="n">
        <v>140</v>
      </c>
      <c r="I5" s="21" t="n">
        <v>220</v>
      </c>
      <c r="J5" s="22" t="n">
        <f aca="false">D5*G5+E5*H5+F5*I5</f>
        <v>800</v>
      </c>
      <c r="K5" s="23" t="s">
        <v>98</v>
      </c>
      <c r="L5" s="15" t="s">
        <v>99</v>
      </c>
    </row>
    <row r="6" customFormat="false" ht="32.25" hidden="false" customHeight="true" outlineLevel="0" collapsed="false">
      <c r="A6" s="19" t="s">
        <v>100</v>
      </c>
      <c r="B6" s="6" t="s">
        <v>101</v>
      </c>
      <c r="C6" s="15" t="s">
        <v>97</v>
      </c>
      <c r="D6" s="20" t="n">
        <f aca="false">Inputs!B$5</f>
        <v>2</v>
      </c>
      <c r="E6" s="20" t="n">
        <f aca="false">Inputs!C$5</f>
        <v>3</v>
      </c>
      <c r="F6" s="20" t="n">
        <f aca="false">Inputs!D$5</f>
        <v>1</v>
      </c>
      <c r="G6" s="21" t="n">
        <v>60</v>
      </c>
      <c r="H6" s="21" t="n">
        <v>110</v>
      </c>
      <c r="I6" s="21" t="n">
        <v>180</v>
      </c>
      <c r="J6" s="22" t="n">
        <f aca="false">D6*G6+E6*H6+F6*I6</f>
        <v>630</v>
      </c>
      <c r="K6" s="23" t="s">
        <v>98</v>
      </c>
      <c r="L6" s="15" t="s">
        <v>102</v>
      </c>
    </row>
    <row r="7" customFormat="false" ht="32.25" hidden="false" customHeight="true" outlineLevel="0" collapsed="false">
      <c r="A7" s="19" t="s">
        <v>103</v>
      </c>
      <c r="B7" s="6" t="s">
        <v>104</v>
      </c>
      <c r="C7" s="15" t="s">
        <v>105</v>
      </c>
      <c r="D7" s="20" t="n">
        <f aca="false">Inputs!B$6</f>
        <v>8</v>
      </c>
      <c r="E7" s="20" t="n">
        <f aca="false">Inputs!C$6</f>
        <v>10</v>
      </c>
      <c r="F7" s="20" t="n">
        <f aca="false">Inputs!D$6</f>
        <v>4</v>
      </c>
      <c r="G7" s="21" t="n">
        <v>24</v>
      </c>
      <c r="H7" s="21" t="n">
        <v>56</v>
      </c>
      <c r="I7" s="21" t="n">
        <v>120</v>
      </c>
      <c r="J7" s="22" t="n">
        <f aca="false">D7*G7+E7*H7+F7*I7</f>
        <v>1232</v>
      </c>
      <c r="K7" s="23" t="s">
        <v>106</v>
      </c>
      <c r="L7" s="15" t="s">
        <v>107</v>
      </c>
    </row>
    <row r="8" customFormat="false" ht="42.75" hidden="false" customHeight="true" outlineLevel="0" collapsed="false">
      <c r="A8" s="19" t="s">
        <v>108</v>
      </c>
      <c r="B8" s="6" t="s">
        <v>109</v>
      </c>
      <c r="C8" s="15" t="s">
        <v>110</v>
      </c>
      <c r="D8" s="20" t="n">
        <f aca="false">Inputs!B$7</f>
        <v>20</v>
      </c>
      <c r="E8" s="20" t="n">
        <f aca="false">Inputs!C$7</f>
        <v>15</v>
      </c>
      <c r="F8" s="20" t="n">
        <f aca="false">Inputs!D$7</f>
        <v>5</v>
      </c>
      <c r="G8" s="21" t="n">
        <v>8</v>
      </c>
      <c r="H8" s="21" t="n">
        <v>24</v>
      </c>
      <c r="I8" s="21" t="n">
        <v>80</v>
      </c>
      <c r="J8" s="22" t="n">
        <f aca="false">D8*G8+E8*H8+F8*I8</f>
        <v>920</v>
      </c>
      <c r="K8" s="23" t="s">
        <v>111</v>
      </c>
      <c r="L8" s="15" t="s">
        <v>112</v>
      </c>
    </row>
    <row r="9" customFormat="false" ht="32.25" hidden="false" customHeight="true" outlineLevel="0" collapsed="false">
      <c r="A9" s="19" t="s">
        <v>113</v>
      </c>
      <c r="B9" s="6" t="s">
        <v>114</v>
      </c>
      <c r="C9" s="15" t="s">
        <v>115</v>
      </c>
      <c r="D9" s="20" t="n">
        <f aca="false">Inputs!B$8</f>
        <v>3</v>
      </c>
      <c r="E9" s="20" t="n">
        <f aca="false">Inputs!C$8</f>
        <v>4</v>
      </c>
      <c r="F9" s="20" t="n">
        <f aca="false">Inputs!D$8</f>
        <v>2</v>
      </c>
      <c r="G9" s="21" t="n">
        <v>60</v>
      </c>
      <c r="H9" s="21" t="n">
        <v>120</v>
      </c>
      <c r="I9" s="21" t="n">
        <v>240</v>
      </c>
      <c r="J9" s="22" t="n">
        <f aca="false">D9*G9+E9*H9+F9*I9</f>
        <v>1140</v>
      </c>
      <c r="K9" s="23" t="s">
        <v>116</v>
      </c>
      <c r="L9" s="15" t="s">
        <v>117</v>
      </c>
    </row>
    <row r="10" customFormat="false" ht="32.25" hidden="false" customHeight="true" outlineLevel="0" collapsed="false">
      <c r="A10" s="19" t="s">
        <v>118</v>
      </c>
      <c r="B10" s="6" t="s">
        <v>119</v>
      </c>
      <c r="C10" s="15" t="s">
        <v>120</v>
      </c>
      <c r="D10" s="20" t="n">
        <f aca="false">Inputs!B$9</f>
        <v>6</v>
      </c>
      <c r="E10" s="20" t="n">
        <f aca="false">Inputs!C$9</f>
        <v>8</v>
      </c>
      <c r="F10" s="20" t="n">
        <f aca="false">Inputs!D$9</f>
        <v>3</v>
      </c>
      <c r="G10" s="21" t="n">
        <v>40</v>
      </c>
      <c r="H10" s="21" t="n">
        <v>80</v>
      </c>
      <c r="I10" s="21" t="n">
        <v>160</v>
      </c>
      <c r="J10" s="22" t="n">
        <f aca="false">D10*G10+E10*H10+F10*I10</f>
        <v>1360</v>
      </c>
      <c r="K10" s="23" t="s">
        <v>116</v>
      </c>
      <c r="L10" s="15" t="s">
        <v>121</v>
      </c>
    </row>
    <row r="11" customFormat="false" ht="32.25" hidden="false" customHeight="true" outlineLevel="0" collapsed="false">
      <c r="A11" s="19" t="s">
        <v>122</v>
      </c>
      <c r="B11" s="6" t="s">
        <v>123</v>
      </c>
      <c r="C11" s="15" t="s">
        <v>124</v>
      </c>
      <c r="D11" s="20" t="n">
        <f aca="false">Inputs!B$10</f>
        <v>4</v>
      </c>
      <c r="E11" s="20" t="n">
        <f aca="false">Inputs!C$10</f>
        <v>4</v>
      </c>
      <c r="F11" s="20" t="n">
        <f aca="false">Inputs!D$10</f>
        <v>2</v>
      </c>
      <c r="G11" s="21" t="n">
        <v>40</v>
      </c>
      <c r="H11" s="21" t="n">
        <v>80</v>
      </c>
      <c r="I11" s="21" t="n">
        <v>140</v>
      </c>
      <c r="J11" s="22" t="n">
        <f aca="false">D11*G11+E11*H11+F11*I11</f>
        <v>760</v>
      </c>
      <c r="K11" s="23" t="s">
        <v>116</v>
      </c>
      <c r="L11" s="15" t="s">
        <v>125</v>
      </c>
    </row>
    <row r="12" customFormat="false" ht="32.25" hidden="false" customHeight="true" outlineLevel="0" collapsed="false">
      <c r="A12" s="19" t="s">
        <v>126</v>
      </c>
      <c r="B12" s="6" t="s">
        <v>127</v>
      </c>
      <c r="C12" s="15" t="s">
        <v>128</v>
      </c>
      <c r="D12" s="20" t="n">
        <f aca="false">Inputs!B$11</f>
        <v>6</v>
      </c>
      <c r="E12" s="20" t="n">
        <f aca="false">Inputs!C$11</f>
        <v>5</v>
      </c>
      <c r="F12" s="20" t="n">
        <f aca="false">Inputs!D$11</f>
        <v>2</v>
      </c>
      <c r="G12" s="21" t="n">
        <v>16</v>
      </c>
      <c r="H12" s="21" t="n">
        <v>32</v>
      </c>
      <c r="I12" s="21" t="n">
        <v>64</v>
      </c>
      <c r="J12" s="22" t="n">
        <f aca="false">D12*G12+E12*H12+F12*I12</f>
        <v>384</v>
      </c>
      <c r="K12" s="23" t="s">
        <v>116</v>
      </c>
      <c r="L12" s="15" t="s">
        <v>129</v>
      </c>
    </row>
    <row r="13" customFormat="false" ht="21.75" hidden="false" customHeight="true" outlineLevel="0" collapsed="false">
      <c r="A13" s="19" t="s">
        <v>130</v>
      </c>
      <c r="B13" s="6" t="s">
        <v>131</v>
      </c>
      <c r="C13" s="15" t="s">
        <v>132</v>
      </c>
      <c r="D13" s="20" t="n">
        <f aca="false">Inputs!B$12</f>
        <v>4</v>
      </c>
      <c r="E13" s="20" t="n">
        <f aca="false">Inputs!C$12</f>
        <v>3</v>
      </c>
      <c r="F13" s="20" t="n">
        <f aca="false">Inputs!D$12</f>
        <v>1</v>
      </c>
      <c r="G13" s="21" t="n">
        <v>40</v>
      </c>
      <c r="H13" s="21" t="n">
        <v>64</v>
      </c>
      <c r="I13" s="21" t="n">
        <v>96</v>
      </c>
      <c r="J13" s="22" t="n">
        <f aca="false">D13*G13+E13*H13+F13*I13</f>
        <v>448</v>
      </c>
      <c r="K13" s="23" t="s">
        <v>133</v>
      </c>
      <c r="L13" s="15" t="s">
        <v>134</v>
      </c>
    </row>
    <row r="14" customFormat="false" ht="23.25" hidden="false" customHeight="true" outlineLevel="0" collapsed="false">
      <c r="A14" s="19" t="s">
        <v>135</v>
      </c>
      <c r="B14" s="6" t="s">
        <v>136</v>
      </c>
      <c r="C14" s="15" t="s">
        <v>137</v>
      </c>
      <c r="D14" s="24" t="s">
        <v>138</v>
      </c>
      <c r="E14" s="24" t="s">
        <v>138</v>
      </c>
      <c r="F14" s="24" t="s">
        <v>138</v>
      </c>
      <c r="G14" s="6"/>
      <c r="H14" s="21" t="n">
        <v>320</v>
      </c>
      <c r="I14" s="6"/>
      <c r="J14" s="22" t="n">
        <f aca="false">H14</f>
        <v>320</v>
      </c>
      <c r="K14" s="23" t="s">
        <v>116</v>
      </c>
      <c r="L14" s="15" t="s">
        <v>139</v>
      </c>
    </row>
    <row r="15" customFormat="false" ht="23.25" hidden="false" customHeight="true" outlineLevel="0" collapsed="false">
      <c r="A15" s="25"/>
      <c r="B15" s="4" t="s">
        <v>140</v>
      </c>
      <c r="C15" s="25"/>
      <c r="D15" s="25"/>
      <c r="E15" s="25"/>
      <c r="F15" s="25"/>
      <c r="G15" s="25"/>
      <c r="H15" s="25"/>
      <c r="I15" s="25"/>
      <c r="J15" s="26" t="n">
        <f aca="false">SUM(J5:J14)</f>
        <v>7994</v>
      </c>
      <c r="K15" s="25"/>
      <c r="L15" s="25"/>
    </row>
    <row r="16" customFormat="false" ht="21.75" hidden="false" customHeight="true" outlineLevel="0" collapsed="false">
      <c r="A16" s="19" t="s">
        <v>141</v>
      </c>
      <c r="B16" s="6" t="s">
        <v>142</v>
      </c>
      <c r="C16" s="15" t="s">
        <v>143</v>
      </c>
      <c r="G16" s="27" t="n">
        <v>0.25</v>
      </c>
      <c r="J16" s="22" t="n">
        <f aca="false">J15*G16</f>
        <v>1998.5</v>
      </c>
      <c r="K16" s="23" t="s">
        <v>116</v>
      </c>
      <c r="L16" s="15" t="s">
        <v>144</v>
      </c>
    </row>
    <row r="17" customFormat="false" ht="23.25" hidden="false" customHeight="true" outlineLevel="0" collapsed="false">
      <c r="A17" s="19" t="s">
        <v>145</v>
      </c>
      <c r="B17" s="6" t="s">
        <v>146</v>
      </c>
      <c r="C17" s="15" t="s">
        <v>143</v>
      </c>
      <c r="G17" s="27" t="n">
        <v>0.22</v>
      </c>
      <c r="J17" s="22" t="n">
        <f aca="false">IF(Inputs!$B$15="Y",J15*G17,0)</f>
        <v>1758.68</v>
      </c>
      <c r="K17" s="23" t="s">
        <v>147</v>
      </c>
      <c r="L17" s="15" t="s">
        <v>148</v>
      </c>
    </row>
    <row r="18" customFormat="false" ht="21.75" hidden="false" customHeight="true" outlineLevel="0" collapsed="false">
      <c r="A18" s="19" t="s">
        <v>149</v>
      </c>
      <c r="B18" s="6" t="s">
        <v>150</v>
      </c>
      <c r="C18" s="15" t="s">
        <v>143</v>
      </c>
      <c r="G18" s="27" t="n">
        <v>0.12</v>
      </c>
      <c r="J18" s="22" t="n">
        <f aca="false">(J15+J16+J17)*G18</f>
        <v>1410.1416</v>
      </c>
      <c r="K18" s="23" t="s">
        <v>116</v>
      </c>
      <c r="L18" s="15" t="s">
        <v>151</v>
      </c>
    </row>
    <row r="19" customFormat="false" ht="21.75" hidden="false" customHeight="true" outlineLevel="0" collapsed="false">
      <c r="A19" s="19" t="s">
        <v>152</v>
      </c>
      <c r="B19" s="6" t="s">
        <v>153</v>
      </c>
      <c r="C19" s="15" t="s">
        <v>143</v>
      </c>
      <c r="G19" s="27" t="n">
        <v>0.08</v>
      </c>
      <c r="J19" s="22" t="n">
        <f aca="false">J15*G19</f>
        <v>639.52</v>
      </c>
      <c r="K19" s="23" t="s">
        <v>116</v>
      </c>
      <c r="L19" s="15" t="s">
        <v>154</v>
      </c>
    </row>
    <row r="20" customFormat="false" ht="15" hidden="false" customHeight="true" outlineLevel="0" collapsed="false">
      <c r="A20" s="28"/>
      <c r="B20" s="29" t="s">
        <v>155</v>
      </c>
      <c r="C20" s="28"/>
      <c r="D20" s="28"/>
      <c r="E20" s="28"/>
      <c r="F20" s="28"/>
      <c r="G20" s="28"/>
      <c r="H20" s="28"/>
      <c r="I20" s="28"/>
      <c r="J20" s="30" t="n">
        <f aca="false">J15+SUM(J16:J19)</f>
        <v>13800.8416</v>
      </c>
      <c r="K20" s="28"/>
      <c r="L20" s="28"/>
    </row>
    <row r="21" customFormat="false" ht="21.75" hidden="false" customHeight="true" outlineLevel="0" collapsed="false">
      <c r="A21" s="19" t="s">
        <v>156</v>
      </c>
      <c r="B21" s="6" t="s">
        <v>157</v>
      </c>
      <c r="C21" s="15" t="s">
        <v>158</v>
      </c>
      <c r="D21" s="20" t="n">
        <f aca="false">Inputs!$B$16</f>
        <v>2</v>
      </c>
      <c r="J21" s="22" t="n">
        <f aca="false">Inputs!$B$16*Inputs!$B$17*J20</f>
        <v>8280.50496</v>
      </c>
      <c r="K21" s="23" t="s">
        <v>106</v>
      </c>
      <c r="L21" s="15" t="s">
        <v>159</v>
      </c>
    </row>
    <row r="22" customFormat="false" ht="15" hidden="false" customHeight="true" outlineLevel="0" collapsed="false">
      <c r="A22" s="25"/>
      <c r="B22" s="4" t="s">
        <v>160</v>
      </c>
      <c r="C22" s="25"/>
      <c r="D22" s="25"/>
      <c r="E22" s="25"/>
      <c r="F22" s="25"/>
      <c r="G22" s="25"/>
      <c r="H22" s="25"/>
      <c r="I22" s="25"/>
      <c r="J22" s="26" t="n">
        <f aca="false">J20+J21</f>
        <v>22081.34656</v>
      </c>
      <c r="K22" s="25"/>
      <c r="L22" s="25"/>
    </row>
    <row r="23" customFormat="false" ht="15" hidden="false" customHeight="true" outlineLevel="0" collapsed="false">
      <c r="B23" s="6" t="s">
        <v>161</v>
      </c>
      <c r="J23" s="31" t="n">
        <f aca="false">J22*Inputs!$B$20</f>
        <v>1104.067328</v>
      </c>
      <c r="L23" s="15" t="s">
        <v>162</v>
      </c>
    </row>
    <row r="24" customFormat="false" ht="23.25" hidden="false" customHeight="true" outlineLevel="0" collapsed="false">
      <c r="B24" s="6" t="s">
        <v>163</v>
      </c>
      <c r="J24" s="32" t="n">
        <f aca="false">J22*'Risks &amp; Mitigations'!$F$15</f>
        <v>3135.55121152</v>
      </c>
      <c r="L24" s="15" t="s">
        <v>164</v>
      </c>
    </row>
    <row r="25" customFormat="false" ht="15" hidden="false" customHeight="true" outlineLevel="0" collapsed="false">
      <c r="A25" s="33"/>
      <c r="B25" s="34" t="s">
        <v>165</v>
      </c>
      <c r="C25" s="33"/>
      <c r="D25" s="33"/>
      <c r="E25" s="33"/>
      <c r="F25" s="33"/>
      <c r="G25" s="33"/>
      <c r="H25" s="33"/>
      <c r="I25" s="33"/>
      <c r="J25" s="35" t="n">
        <f aca="false">J22+J23+J24</f>
        <v>26320.96509952</v>
      </c>
      <c r="K25" s="33"/>
      <c r="L25" s="33"/>
    </row>
    <row r="26" customFormat="false" ht="15" hidden="false" customHeight="true" outlineLevel="0" collapsed="false">
      <c r="B26" s="5" t="s">
        <v>166</v>
      </c>
      <c r="J26" s="36" t="n">
        <f aca="false">J25/Inputs!$B$18</f>
        <v>173.164244075789</v>
      </c>
    </row>
    <row r="28" customFormat="false" ht="15" hidden="false" customHeight="true" outlineLevel="0" collapsed="false">
      <c r="B28" s="15" t="s">
        <v>167</v>
      </c>
      <c r="C28" s="15"/>
      <c r="D28" s="15"/>
      <c r="E28" s="15"/>
      <c r="F28" s="15"/>
      <c r="G28" s="15"/>
      <c r="H28" s="15"/>
      <c r="I28" s="15"/>
      <c r="J28" s="15"/>
      <c r="K28" s="15"/>
      <c r="L28" s="15"/>
    </row>
  </sheetData>
  <mergeCells count="3">
    <mergeCell ref="A1:L1"/>
    <mergeCell ref="A2:L2"/>
    <mergeCell ref="B28:L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2"/>
    <col collapsed="false" customWidth="true" hidden="false" outlineLevel="0" max="3" min="3" style="1" width="14"/>
    <col collapsed="false" customWidth="true" hidden="false" outlineLevel="0" max="4" min="4" style="1" width="12"/>
    <col collapsed="false" customWidth="true" hidden="false" outlineLevel="0" max="5" min="5" style="1" width="14"/>
    <col collapsed="false" customWidth="true" hidden="false" outlineLevel="0" max="6" min="6" style="1" width="66"/>
  </cols>
  <sheetData>
    <row r="1" customFormat="false" ht="25.5" hidden="false" customHeight="true" outlineLevel="0" collapsed="false">
      <c r="A1" s="2" t="s">
        <v>168</v>
      </c>
      <c r="B1" s="2"/>
      <c r="C1" s="2"/>
      <c r="D1" s="2"/>
      <c r="E1" s="2"/>
      <c r="F1" s="2"/>
    </row>
    <row r="2" customFormat="false" ht="27.75" hidden="false" customHeight="true" outlineLevel="0" collapsed="false">
      <c r="A2" s="3" t="s">
        <v>169</v>
      </c>
      <c r="B2" s="3"/>
      <c r="C2" s="3"/>
      <c r="D2" s="3"/>
      <c r="E2" s="3"/>
      <c r="F2" s="3"/>
    </row>
    <row r="4" customFormat="false" ht="23.25" hidden="false" customHeight="true" outlineLevel="0" collapsed="false">
      <c r="A4" s="12" t="s">
        <v>170</v>
      </c>
      <c r="B4" s="12" t="s">
        <v>171</v>
      </c>
      <c r="C4" s="12" t="s">
        <v>92</v>
      </c>
      <c r="D4" s="12" t="s">
        <v>172</v>
      </c>
      <c r="E4" s="12" t="s">
        <v>173</v>
      </c>
      <c r="F4" s="12" t="s">
        <v>174</v>
      </c>
    </row>
    <row r="5" customFormat="false" ht="15" hidden="false" customHeight="true" outlineLevel="0" collapsed="false">
      <c r="A5" s="6" t="s">
        <v>175</v>
      </c>
      <c r="B5" s="27" t="n">
        <v>0.1</v>
      </c>
      <c r="C5" s="32" t="n">
        <f aca="false">B5*Estimator!$J$25</f>
        <v>2632.096509952</v>
      </c>
      <c r="D5" s="37" t="n">
        <f aca="false">C5/Inputs!$B$18</f>
        <v>17.3164244075789</v>
      </c>
      <c r="E5" s="38" t="n">
        <f aca="false">IFERROR(C5/('Duration &amp; Phasing'!$D$14*40),0)</f>
        <v>1</v>
      </c>
      <c r="F5" s="15" t="s">
        <v>176</v>
      </c>
    </row>
    <row r="6" customFormat="false" ht="15" hidden="false" customHeight="true" outlineLevel="0" collapsed="false">
      <c r="A6" s="6" t="s">
        <v>177</v>
      </c>
      <c r="B6" s="27" t="n">
        <v>0.08</v>
      </c>
      <c r="C6" s="32" t="n">
        <f aca="false">B6*Estimator!$J$25</f>
        <v>2105.6772079616</v>
      </c>
      <c r="D6" s="37" t="n">
        <f aca="false">C6/Inputs!$B$18</f>
        <v>13.8531395260632</v>
      </c>
      <c r="E6" s="38" t="n">
        <f aca="false">IFERROR(C6/('Duration &amp; Phasing'!$D$14*40),0)</f>
        <v>0.8</v>
      </c>
      <c r="F6" s="15" t="s">
        <v>178</v>
      </c>
    </row>
    <row r="7" customFormat="false" ht="21.75" hidden="false" customHeight="true" outlineLevel="0" collapsed="false">
      <c r="A7" s="6" t="s">
        <v>179</v>
      </c>
      <c r="B7" s="27" t="n">
        <v>0.22</v>
      </c>
      <c r="C7" s="32" t="n">
        <f aca="false">B7*Estimator!$J$25</f>
        <v>5790.6123218944</v>
      </c>
      <c r="D7" s="37" t="n">
        <f aca="false">C7/Inputs!$B$18</f>
        <v>38.0961336966737</v>
      </c>
      <c r="E7" s="38" t="n">
        <f aca="false">IFERROR(C7/('Duration &amp; Phasing'!$D$14*40),0)</f>
        <v>2.2</v>
      </c>
      <c r="F7" s="15" t="s">
        <v>180</v>
      </c>
    </row>
    <row r="8" customFormat="false" ht="15" hidden="false" customHeight="true" outlineLevel="0" collapsed="false">
      <c r="A8" s="6" t="s">
        <v>181</v>
      </c>
      <c r="B8" s="27" t="n">
        <v>0.16</v>
      </c>
      <c r="C8" s="32" t="n">
        <f aca="false">B8*Estimator!$J$25</f>
        <v>4211.3544159232</v>
      </c>
      <c r="D8" s="37" t="n">
        <f aca="false">C8/Inputs!$B$18</f>
        <v>27.7062790521263</v>
      </c>
      <c r="E8" s="38" t="n">
        <f aca="false">IFERROR(C8/('Duration &amp; Phasing'!$D$14*40),0)</f>
        <v>1.6</v>
      </c>
      <c r="F8" s="15" t="s">
        <v>182</v>
      </c>
    </row>
    <row r="9" customFormat="false" ht="15" hidden="false" customHeight="true" outlineLevel="0" collapsed="false">
      <c r="A9" s="6" t="s">
        <v>183</v>
      </c>
      <c r="B9" s="27" t="n">
        <v>0.12</v>
      </c>
      <c r="C9" s="32" t="n">
        <f aca="false">B9*Estimator!$J$25</f>
        <v>3158.5158119424</v>
      </c>
      <c r="D9" s="37" t="n">
        <f aca="false">C9/Inputs!$B$18</f>
        <v>20.7797092890947</v>
      </c>
      <c r="E9" s="38" t="n">
        <f aca="false">IFERROR(C9/('Duration &amp; Phasing'!$D$14*40),0)</f>
        <v>1.2</v>
      </c>
      <c r="F9" s="15" t="s">
        <v>184</v>
      </c>
    </row>
    <row r="10" customFormat="false" ht="15" hidden="false" customHeight="true" outlineLevel="0" collapsed="false">
      <c r="A10" s="6" t="s">
        <v>185</v>
      </c>
      <c r="B10" s="27" t="n">
        <v>0.08</v>
      </c>
      <c r="C10" s="32" t="n">
        <f aca="false">B10*Estimator!$J$25</f>
        <v>2105.6772079616</v>
      </c>
      <c r="D10" s="37" t="n">
        <f aca="false">C10/Inputs!$B$18</f>
        <v>13.8531395260632</v>
      </c>
      <c r="E10" s="38" t="n">
        <f aca="false">IFERROR(C10/('Duration &amp; Phasing'!$D$14*40),0)</f>
        <v>0.8</v>
      </c>
      <c r="F10" s="15" t="s">
        <v>186</v>
      </c>
    </row>
    <row r="11" customFormat="false" ht="15" hidden="false" customHeight="true" outlineLevel="0" collapsed="false">
      <c r="A11" s="6" t="s">
        <v>187</v>
      </c>
      <c r="B11" s="27" t="n">
        <v>0.05</v>
      </c>
      <c r="C11" s="32" t="n">
        <f aca="false">B11*Estimator!$J$25</f>
        <v>1316.048254976</v>
      </c>
      <c r="D11" s="37" t="n">
        <f aca="false">C11/Inputs!$B$18</f>
        <v>8.65821220378947</v>
      </c>
      <c r="E11" s="38" t="n">
        <f aca="false">IFERROR(C11/('Duration &amp; Phasing'!$D$14*40),0)</f>
        <v>0.5</v>
      </c>
      <c r="F11" s="15" t="s">
        <v>188</v>
      </c>
    </row>
    <row r="12" customFormat="false" ht="15" hidden="false" customHeight="true" outlineLevel="0" collapsed="false">
      <c r="A12" s="6" t="s">
        <v>189</v>
      </c>
      <c r="B12" s="27" t="n">
        <v>0.09</v>
      </c>
      <c r="C12" s="32" t="n">
        <f aca="false">B12*Estimator!$J$25</f>
        <v>2368.8868589568</v>
      </c>
      <c r="D12" s="37" t="n">
        <f aca="false">C12/Inputs!$B$18</f>
        <v>15.5847819668211</v>
      </c>
      <c r="E12" s="38" t="n">
        <f aca="false">IFERROR(C12/('Duration &amp; Phasing'!$D$14*40),0)</f>
        <v>0.9</v>
      </c>
      <c r="F12" s="15" t="s">
        <v>190</v>
      </c>
    </row>
    <row r="13" customFormat="false" ht="15" hidden="false" customHeight="true" outlineLevel="0" collapsed="false">
      <c r="A13" s="6" t="s">
        <v>191</v>
      </c>
      <c r="B13" s="27" t="n">
        <v>0.06</v>
      </c>
      <c r="C13" s="32" t="n">
        <f aca="false">B13*Estimator!$J$25</f>
        <v>1579.2579059712</v>
      </c>
      <c r="D13" s="37" t="n">
        <f aca="false">C13/Inputs!$B$18</f>
        <v>10.3898546445474</v>
      </c>
      <c r="E13" s="38" t="n">
        <f aca="false">IFERROR(C13/('Duration &amp; Phasing'!$D$14*40),0)</f>
        <v>0.6</v>
      </c>
      <c r="F13" s="15" t="s">
        <v>192</v>
      </c>
    </row>
    <row r="14" customFormat="false" ht="15" hidden="false" customHeight="true" outlineLevel="0" collapsed="false">
      <c r="A14" s="6" t="s">
        <v>193</v>
      </c>
      <c r="B14" s="27" t="n">
        <v>0.04</v>
      </c>
      <c r="C14" s="32" t="n">
        <f aca="false">B14*Estimator!$J$25</f>
        <v>1052.8386039808</v>
      </c>
      <c r="D14" s="37" t="n">
        <f aca="false">C14/Inputs!$B$18</f>
        <v>6.92656976303158</v>
      </c>
      <c r="E14" s="38" t="n">
        <f aca="false">IFERROR(C14/('Duration &amp; Phasing'!$D$14*40),0)</f>
        <v>0.4</v>
      </c>
      <c r="F14" s="15" t="s">
        <v>194</v>
      </c>
    </row>
    <row r="15" customFormat="false" ht="15" hidden="false" customHeight="true" outlineLevel="0" collapsed="false">
      <c r="A15" s="4" t="s">
        <v>47</v>
      </c>
      <c r="B15" s="39" t="n">
        <f aca="false">SUM(B5:B14)</f>
        <v>1</v>
      </c>
      <c r="C15" s="26" t="n">
        <f aca="false">SUM(C5:C14)</f>
        <v>26320.96509952</v>
      </c>
      <c r="D15" s="40" t="n">
        <f aca="false">SUM(D5:D14)</f>
        <v>173.164244075789</v>
      </c>
      <c r="E15" s="41" t="n">
        <f aca="false">SUM(E5:E14)</f>
        <v>10</v>
      </c>
      <c r="F15" s="25"/>
    </row>
    <row r="17" customFormat="false" ht="15" hidden="false" customHeight="true" outlineLevel="0" collapsed="false">
      <c r="A17" s="15" t="s">
        <v>195</v>
      </c>
      <c r="B17" s="19" t="str">
        <f aca="false">IF(B15=1,"OK","ADJUST")</f>
        <v>OK</v>
      </c>
    </row>
    <row r="18" customFormat="false" ht="15" hidden="false" customHeight="true" outlineLevel="0" collapsed="false">
      <c r="A18" s="15" t="s">
        <v>196</v>
      </c>
      <c r="B18" s="15"/>
      <c r="C18" s="15"/>
      <c r="D18" s="15"/>
      <c r="E18" s="15"/>
      <c r="F18" s="15"/>
    </row>
  </sheetData>
  <mergeCells count="3">
    <mergeCell ref="A1:F1"/>
    <mergeCell ref="A2:F2"/>
    <mergeCell ref="A18: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2"/>
    <col collapsed="false" customWidth="true" hidden="false" outlineLevel="0" max="5" min="3" style="1" width="14"/>
    <col collapsed="false" customWidth="true" hidden="false" outlineLevel="0" max="6" min="6" style="1" width="62"/>
  </cols>
  <sheetData>
    <row r="1" customFormat="false" ht="25.5" hidden="false" customHeight="true" outlineLevel="0" collapsed="false">
      <c r="A1" s="2" t="s">
        <v>197</v>
      </c>
      <c r="B1" s="2"/>
      <c r="C1" s="2"/>
      <c r="D1" s="2"/>
      <c r="E1" s="2"/>
      <c r="F1" s="2"/>
    </row>
    <row r="2" customFormat="false" ht="27.75" hidden="false" customHeight="true" outlineLevel="0" collapsed="false">
      <c r="A2" s="3" t="s">
        <v>198</v>
      </c>
      <c r="B2" s="3"/>
      <c r="C2" s="3"/>
      <c r="D2" s="3"/>
      <c r="E2" s="3"/>
      <c r="F2" s="3"/>
    </row>
    <row r="4" customFormat="false" ht="15" hidden="false" customHeight="true" outlineLevel="0" collapsed="false">
      <c r="A4" s="12" t="s">
        <v>199</v>
      </c>
      <c r="B4" s="12" t="s">
        <v>200</v>
      </c>
      <c r="C4" s="12" t="s">
        <v>92</v>
      </c>
      <c r="D4" s="12" t="s">
        <v>201</v>
      </c>
      <c r="E4" s="12" t="s">
        <v>202</v>
      </c>
      <c r="F4" s="12" t="s">
        <v>203</v>
      </c>
    </row>
    <row r="5" customFormat="false" ht="15" hidden="false" customHeight="true" outlineLevel="0" collapsed="false">
      <c r="A5" s="6" t="s">
        <v>204</v>
      </c>
      <c r="B5" s="27" t="n">
        <v>0.05</v>
      </c>
      <c r="C5" s="32" t="n">
        <f aca="false">B5*Estimator!$J$25</f>
        <v>1316.048254976</v>
      </c>
      <c r="D5" s="37" t="n">
        <f aca="false">C5/(Inputs!$B$19*40)</f>
        <v>4.1126507968</v>
      </c>
      <c r="E5" s="37" t="n">
        <f aca="false">SUM(D$5:D5)</f>
        <v>4.1126507968</v>
      </c>
      <c r="F5" s="15" t="s">
        <v>205</v>
      </c>
    </row>
    <row r="6" customFormat="false" ht="15" hidden="false" customHeight="true" outlineLevel="0" collapsed="false">
      <c r="A6" s="6" t="s">
        <v>206</v>
      </c>
      <c r="B6" s="27" t="n">
        <v>0.18</v>
      </c>
      <c r="C6" s="32" t="n">
        <f aca="false">B6*Estimator!$J$25</f>
        <v>4737.7737179136</v>
      </c>
      <c r="D6" s="37" t="n">
        <f aca="false">C6/(Inputs!$B$19*40)</f>
        <v>14.80554286848</v>
      </c>
      <c r="E6" s="37" t="n">
        <f aca="false">SUM(D$5:D6)</f>
        <v>18.91819366528</v>
      </c>
      <c r="F6" s="15" t="s">
        <v>207</v>
      </c>
    </row>
    <row r="7" customFormat="false" ht="15" hidden="false" customHeight="true" outlineLevel="0" collapsed="false">
      <c r="A7" s="6" t="s">
        <v>208</v>
      </c>
      <c r="B7" s="27" t="n">
        <v>0.34</v>
      </c>
      <c r="C7" s="32" t="n">
        <f aca="false">B7*Estimator!$J$25</f>
        <v>8949.1281338368</v>
      </c>
      <c r="D7" s="37" t="n">
        <f aca="false">C7/(Inputs!$B$19*40)</f>
        <v>27.96602541824</v>
      </c>
      <c r="E7" s="37" t="n">
        <f aca="false">SUM(D$5:D7)</f>
        <v>46.88421908352</v>
      </c>
      <c r="F7" s="15" t="s">
        <v>209</v>
      </c>
    </row>
    <row r="8" customFormat="false" ht="15" hidden="false" customHeight="true" outlineLevel="0" collapsed="false">
      <c r="A8" s="6" t="s">
        <v>210</v>
      </c>
      <c r="B8" s="27" t="n">
        <v>0.18</v>
      </c>
      <c r="C8" s="32" t="n">
        <f aca="false">B8*Estimator!$J$25</f>
        <v>4737.7737179136</v>
      </c>
      <c r="D8" s="37" t="n">
        <f aca="false">C8/(Inputs!$B$19*40)</f>
        <v>14.80554286848</v>
      </c>
      <c r="E8" s="37" t="n">
        <f aca="false">SUM(D$5:D8)</f>
        <v>61.689761952</v>
      </c>
      <c r="F8" s="15" t="s">
        <v>211</v>
      </c>
    </row>
    <row r="9" customFormat="false" ht="15" hidden="false" customHeight="true" outlineLevel="0" collapsed="false">
      <c r="A9" s="6" t="s">
        <v>212</v>
      </c>
      <c r="B9" s="27" t="n">
        <v>0.1</v>
      </c>
      <c r="C9" s="32" t="n">
        <f aca="false">B9*Estimator!$J$25</f>
        <v>2632.096509952</v>
      </c>
      <c r="D9" s="37" t="n">
        <f aca="false">C9/(Inputs!$B$19*40)</f>
        <v>8.2253015936</v>
      </c>
      <c r="E9" s="37" t="n">
        <f aca="false">SUM(D$5:D9)</f>
        <v>69.9150635456</v>
      </c>
      <c r="F9" s="15" t="s">
        <v>213</v>
      </c>
    </row>
    <row r="10" customFormat="false" ht="15" hidden="false" customHeight="true" outlineLevel="0" collapsed="false">
      <c r="A10" s="6" t="s">
        <v>214</v>
      </c>
      <c r="B10" s="27" t="n">
        <v>0.06</v>
      </c>
      <c r="C10" s="32" t="n">
        <f aca="false">B10*Estimator!$J$25</f>
        <v>1579.2579059712</v>
      </c>
      <c r="D10" s="37" t="n">
        <f aca="false">C10/(Inputs!$B$19*40)</f>
        <v>4.93518095616</v>
      </c>
      <c r="E10" s="37" t="n">
        <f aca="false">SUM(D$5:D10)</f>
        <v>74.85024450176</v>
      </c>
      <c r="F10" s="15" t="s">
        <v>215</v>
      </c>
    </row>
    <row r="11" customFormat="false" ht="15" hidden="false" customHeight="true" outlineLevel="0" collapsed="false">
      <c r="A11" s="6" t="s">
        <v>216</v>
      </c>
      <c r="B11" s="27" t="n">
        <v>0.09</v>
      </c>
      <c r="C11" s="32" t="n">
        <f aca="false">B11*Estimator!$J$25</f>
        <v>2368.8868589568</v>
      </c>
      <c r="D11" s="37" t="n">
        <f aca="false">C11/(Inputs!$B$19*40)</f>
        <v>7.40277143424</v>
      </c>
      <c r="E11" s="37" t="n">
        <f aca="false">SUM(D$5:D11)</f>
        <v>82.253015936</v>
      </c>
      <c r="F11" s="15" t="s">
        <v>217</v>
      </c>
    </row>
    <row r="12" customFormat="false" ht="15" hidden="false" customHeight="true" outlineLevel="0" collapsed="false">
      <c r="A12" s="4" t="s">
        <v>218</v>
      </c>
      <c r="B12" s="39" t="n">
        <f aca="false">SUM(B5:B11)</f>
        <v>1</v>
      </c>
      <c r="C12" s="26" t="n">
        <f aca="false">SUM(C5:C11)</f>
        <v>26320.96509952</v>
      </c>
      <c r="D12" s="40" t="n">
        <f aca="false">SUM(D5:D11)</f>
        <v>82.253015936</v>
      </c>
      <c r="E12" s="25"/>
      <c r="F12" s="25"/>
    </row>
    <row r="13" customFormat="false" ht="21.75" hidden="false" customHeight="true" outlineLevel="0" collapsed="false">
      <c r="A13" s="6" t="s">
        <v>219</v>
      </c>
      <c r="B13" s="27" t="n">
        <v>0.8</v>
      </c>
      <c r="F13" s="15" t="s">
        <v>220</v>
      </c>
    </row>
    <row r="14" customFormat="false" ht="26.25" hidden="false" customHeight="true" outlineLevel="0" collapsed="false">
      <c r="A14" s="34" t="s">
        <v>221</v>
      </c>
      <c r="B14" s="33"/>
      <c r="C14" s="33"/>
      <c r="D14" s="42" t="n">
        <f aca="false">D12*B13</f>
        <v>65.8024127488</v>
      </c>
      <c r="E14" s="43" t="n">
        <f aca="false">D14/4.33</f>
        <v>15.1968620666975</v>
      </c>
      <c r="F14" s="15" t="s">
        <v>222</v>
      </c>
    </row>
    <row r="16" customFormat="false" ht="15" hidden="false" customHeight="true" outlineLevel="0" collapsed="false">
      <c r="A16" s="15" t="s">
        <v>223</v>
      </c>
      <c r="B16" s="15"/>
      <c r="C16" s="15"/>
      <c r="D16" s="15"/>
      <c r="E16" s="15"/>
      <c r="F16" s="15"/>
    </row>
  </sheetData>
  <mergeCells count="3">
    <mergeCell ref="A1:F1"/>
    <mergeCell ref="A2:F2"/>
    <mergeCell ref="A16:F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3" min="2" style="1" width="42"/>
    <col collapsed="false" customWidth="true" hidden="false" outlineLevel="0" max="4" min="4" style="1" width="46"/>
    <col collapsed="false" customWidth="true" hidden="false" outlineLevel="0" max="5" min="5" style="1" width="34"/>
  </cols>
  <sheetData>
    <row r="1" customFormat="false" ht="25.5" hidden="false" customHeight="true" outlineLevel="0" collapsed="false">
      <c r="A1" s="2" t="s">
        <v>224</v>
      </c>
      <c r="B1" s="2"/>
      <c r="C1" s="2"/>
      <c r="D1" s="2"/>
      <c r="E1" s="2"/>
    </row>
    <row r="2" customFormat="false" ht="27.75" hidden="false" customHeight="true" outlineLevel="0" collapsed="false">
      <c r="A2" s="3" t="s">
        <v>225</v>
      </c>
      <c r="B2" s="3"/>
      <c r="C2" s="3"/>
      <c r="D2" s="3"/>
      <c r="E2" s="3"/>
    </row>
    <row r="4" customFormat="false" ht="23.25" hidden="false" customHeight="true" outlineLevel="0" collapsed="false">
      <c r="A4" s="12" t="s">
        <v>226</v>
      </c>
      <c r="B4" s="12" t="s">
        <v>227</v>
      </c>
      <c r="C4" s="12" t="s">
        <v>228</v>
      </c>
      <c r="D4" s="12" t="s">
        <v>229</v>
      </c>
      <c r="E4" s="12" t="s">
        <v>230</v>
      </c>
    </row>
    <row r="5" customFormat="false" ht="23.25" hidden="false" customHeight="true" outlineLevel="0" collapsed="false">
      <c r="A5" s="5" t="s">
        <v>231</v>
      </c>
      <c r="B5" s="28" t="s">
        <v>232</v>
      </c>
      <c r="C5" s="6" t="s">
        <v>233</v>
      </c>
      <c r="D5" s="11" t="s">
        <v>234</v>
      </c>
      <c r="E5" s="6" t="s">
        <v>235</v>
      </c>
    </row>
    <row r="6" customFormat="false" ht="34.5" hidden="false" customHeight="true" outlineLevel="0" collapsed="false">
      <c r="A6" s="5" t="s">
        <v>236</v>
      </c>
      <c r="B6" s="28" t="s">
        <v>237</v>
      </c>
      <c r="C6" s="6" t="s">
        <v>238</v>
      </c>
      <c r="D6" s="11" t="s">
        <v>239</v>
      </c>
      <c r="E6" s="6" t="s">
        <v>240</v>
      </c>
    </row>
    <row r="7" customFormat="false" ht="23.25" hidden="false" customHeight="true" outlineLevel="0" collapsed="false">
      <c r="A7" s="5" t="s">
        <v>241</v>
      </c>
      <c r="B7" s="28" t="s">
        <v>242</v>
      </c>
      <c r="C7" s="6" t="s">
        <v>243</v>
      </c>
      <c r="D7" s="11" t="s">
        <v>244</v>
      </c>
      <c r="E7" s="6" t="s">
        <v>245</v>
      </c>
    </row>
    <row r="8" customFormat="false" ht="23.25" hidden="false" customHeight="true" outlineLevel="0" collapsed="false">
      <c r="A8" s="5" t="s">
        <v>246</v>
      </c>
      <c r="B8" s="28" t="s">
        <v>247</v>
      </c>
      <c r="C8" s="6" t="s">
        <v>248</v>
      </c>
      <c r="D8" s="11" t="s">
        <v>249</v>
      </c>
      <c r="E8" s="6" t="s">
        <v>250</v>
      </c>
    </row>
    <row r="9" customFormat="false" ht="23.25" hidden="false" customHeight="true" outlineLevel="0" collapsed="false">
      <c r="A9" s="5" t="s">
        <v>251</v>
      </c>
      <c r="B9" s="28" t="s">
        <v>252</v>
      </c>
      <c r="C9" s="6" t="s">
        <v>253</v>
      </c>
      <c r="D9" s="11" t="s">
        <v>254</v>
      </c>
      <c r="E9" s="6" t="s">
        <v>255</v>
      </c>
    </row>
    <row r="10" customFormat="false" ht="23.25" hidden="false" customHeight="true" outlineLevel="0" collapsed="false">
      <c r="A10" s="5" t="s">
        <v>256</v>
      </c>
      <c r="B10" s="28" t="s">
        <v>257</v>
      </c>
      <c r="C10" s="6" t="s">
        <v>258</v>
      </c>
      <c r="D10" s="11" t="s">
        <v>259</v>
      </c>
      <c r="E10" s="6" t="s">
        <v>260</v>
      </c>
    </row>
    <row r="11" customFormat="false" ht="23.25" hidden="false" customHeight="true" outlineLevel="0" collapsed="false">
      <c r="A11" s="5" t="s">
        <v>261</v>
      </c>
      <c r="B11" s="28" t="s">
        <v>262</v>
      </c>
      <c r="C11" s="6" t="s">
        <v>263</v>
      </c>
      <c r="D11" s="11" t="s">
        <v>264</v>
      </c>
      <c r="E11" s="6" t="s">
        <v>265</v>
      </c>
    </row>
    <row r="12" customFormat="false" ht="23.25" hidden="false" customHeight="true" outlineLevel="0" collapsed="false">
      <c r="A12" s="5" t="s">
        <v>266</v>
      </c>
      <c r="B12" s="28" t="s">
        <v>267</v>
      </c>
      <c r="C12" s="6" t="s">
        <v>268</v>
      </c>
      <c r="D12" s="11" t="s">
        <v>269</v>
      </c>
      <c r="E12" s="6" t="s">
        <v>270</v>
      </c>
    </row>
    <row r="14" customFormat="false" ht="23.25" hidden="false" customHeight="true" outlineLevel="0" collapsed="false">
      <c r="A14" s="4" t="s">
        <v>271</v>
      </c>
      <c r="B14" s="6" t="s">
        <v>272</v>
      </c>
      <c r="C14" s="6"/>
      <c r="D14" s="6"/>
      <c r="E14" s="6"/>
    </row>
  </sheetData>
  <mergeCells count="3">
    <mergeCell ref="A1:E1"/>
    <mergeCell ref="A2:E2"/>
    <mergeCell ref="B14:E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8"/>
    <col collapsed="false" customWidth="true" hidden="false" outlineLevel="0" max="3" min="3" style="1" width="44"/>
    <col collapsed="false" customWidth="true" hidden="false" outlineLevel="0" max="5" min="4" style="1" width="12"/>
    <col collapsed="false" customWidth="true" hidden="false" outlineLevel="0" max="6" min="6" style="1" width="14"/>
    <col collapsed="false" customWidth="true" hidden="false" outlineLevel="0" max="7" min="7" style="1" width="10"/>
    <col collapsed="false" customWidth="true" hidden="false" outlineLevel="0" max="8" min="8" style="1" width="52"/>
  </cols>
  <sheetData>
    <row r="1" customFormat="false" ht="25.5" hidden="false" customHeight="true" outlineLevel="0" collapsed="false">
      <c r="A1" s="2" t="s">
        <v>273</v>
      </c>
      <c r="B1" s="2"/>
      <c r="C1" s="2"/>
      <c r="D1" s="2"/>
      <c r="E1" s="2"/>
      <c r="F1" s="2"/>
      <c r="G1" s="2"/>
      <c r="H1" s="2"/>
    </row>
    <row r="2" customFormat="false" ht="27.75" hidden="false" customHeight="true" outlineLevel="0" collapsed="false">
      <c r="A2" s="3" t="s">
        <v>274</v>
      </c>
      <c r="B2" s="3"/>
      <c r="C2" s="3"/>
      <c r="D2" s="3"/>
      <c r="E2" s="3"/>
      <c r="F2" s="3"/>
      <c r="G2" s="3"/>
      <c r="H2" s="3"/>
    </row>
    <row r="4" customFormat="false" ht="34.5" hidden="false" customHeight="true" outlineLevel="0" collapsed="false">
      <c r="A4" s="12" t="s">
        <v>275</v>
      </c>
      <c r="B4" s="12" t="s">
        <v>276</v>
      </c>
      <c r="C4" s="12" t="s">
        <v>277</v>
      </c>
      <c r="D4" s="12" t="s">
        <v>278</v>
      </c>
      <c r="E4" s="12" t="s">
        <v>279</v>
      </c>
      <c r="F4" s="12" t="s">
        <v>280</v>
      </c>
      <c r="G4" s="12" t="s">
        <v>281</v>
      </c>
      <c r="H4" s="12" t="s">
        <v>282</v>
      </c>
    </row>
    <row r="5" customFormat="false" ht="34.5" hidden="false" customHeight="true" outlineLevel="0" collapsed="false">
      <c r="A5" s="19" t="s">
        <v>283</v>
      </c>
      <c r="B5" s="6" t="s">
        <v>284</v>
      </c>
      <c r="C5" s="6" t="s">
        <v>285</v>
      </c>
      <c r="D5" s="27" t="n">
        <v>0.4</v>
      </c>
      <c r="E5" s="27" t="n">
        <v>0.15</v>
      </c>
      <c r="F5" s="44" t="n">
        <f aca="false">IF(G5="Y",D5*E5,0)</f>
        <v>0.06</v>
      </c>
      <c r="G5" s="16" t="s">
        <v>68</v>
      </c>
      <c r="H5" s="15" t="s">
        <v>286</v>
      </c>
    </row>
    <row r="6" customFormat="false" ht="34.5" hidden="false" customHeight="true" outlineLevel="0" collapsed="false">
      <c r="A6" s="19" t="s">
        <v>287</v>
      </c>
      <c r="B6" s="6" t="s">
        <v>288</v>
      </c>
      <c r="C6" s="6" t="s">
        <v>289</v>
      </c>
      <c r="D6" s="27" t="n">
        <v>0.5</v>
      </c>
      <c r="E6" s="27" t="n">
        <v>0.1</v>
      </c>
      <c r="F6" s="44" t="n">
        <f aca="false">IF(G6="Y",D6*E6,0)</f>
        <v>0.05</v>
      </c>
      <c r="G6" s="16" t="s">
        <v>68</v>
      </c>
      <c r="H6" s="15" t="s">
        <v>290</v>
      </c>
    </row>
    <row r="7" customFormat="false" ht="34.5" hidden="false" customHeight="true" outlineLevel="0" collapsed="false">
      <c r="A7" s="19" t="s">
        <v>291</v>
      </c>
      <c r="B7" s="6" t="s">
        <v>292</v>
      </c>
      <c r="C7" s="6" t="s">
        <v>293</v>
      </c>
      <c r="D7" s="27" t="n">
        <v>0.3</v>
      </c>
      <c r="E7" s="27" t="n">
        <v>0.2</v>
      </c>
      <c r="F7" s="44" t="n">
        <f aca="false">IF(G7="Y",D7*E7,0)</f>
        <v>0</v>
      </c>
      <c r="G7" s="16" t="s">
        <v>294</v>
      </c>
      <c r="H7" s="15" t="s">
        <v>295</v>
      </c>
    </row>
    <row r="8" customFormat="false" ht="23.25" hidden="false" customHeight="true" outlineLevel="0" collapsed="false">
      <c r="A8" s="19" t="s">
        <v>296</v>
      </c>
      <c r="B8" s="6" t="s">
        <v>297</v>
      </c>
      <c r="C8" s="6" t="s">
        <v>298</v>
      </c>
      <c r="D8" s="27" t="n">
        <v>0.4</v>
      </c>
      <c r="E8" s="27" t="n">
        <v>0.08</v>
      </c>
      <c r="F8" s="44" t="n">
        <f aca="false">IF(G8="Y",D8*E8,0)</f>
        <v>0</v>
      </c>
      <c r="G8" s="16" t="s">
        <v>294</v>
      </c>
      <c r="H8" s="15" t="s">
        <v>299</v>
      </c>
    </row>
    <row r="9" customFormat="false" ht="23.25" hidden="false" customHeight="true" outlineLevel="0" collapsed="false">
      <c r="A9" s="19" t="s">
        <v>300</v>
      </c>
      <c r="B9" s="6" t="s">
        <v>301</v>
      </c>
      <c r="C9" s="6" t="s">
        <v>302</v>
      </c>
      <c r="D9" s="27" t="n">
        <v>0.4</v>
      </c>
      <c r="E9" s="27" t="n">
        <v>0.1</v>
      </c>
      <c r="F9" s="44" t="n">
        <f aca="false">IF(G9="Y",D9*E9,0)</f>
        <v>0</v>
      </c>
      <c r="G9" s="16" t="s">
        <v>294</v>
      </c>
      <c r="H9" s="15" t="s">
        <v>303</v>
      </c>
    </row>
    <row r="10" customFormat="false" ht="34.5" hidden="false" customHeight="true" outlineLevel="0" collapsed="false">
      <c r="A10" s="19" t="s">
        <v>304</v>
      </c>
      <c r="B10" s="6" t="s">
        <v>305</v>
      </c>
      <c r="C10" s="6" t="s">
        <v>306</v>
      </c>
      <c r="D10" s="27" t="n">
        <v>0.4</v>
      </c>
      <c r="E10" s="27" t="n">
        <v>0.06</v>
      </c>
      <c r="F10" s="44" t="n">
        <f aca="false">IF(G10="Y",D10*E10,0)</f>
        <v>0</v>
      </c>
      <c r="G10" s="16" t="s">
        <v>294</v>
      </c>
      <c r="H10" s="15" t="s">
        <v>307</v>
      </c>
    </row>
    <row r="11" customFormat="false" ht="34.5" hidden="false" customHeight="true" outlineLevel="0" collapsed="false">
      <c r="A11" s="19" t="s">
        <v>308</v>
      </c>
      <c r="B11" s="6" t="s">
        <v>309</v>
      </c>
      <c r="C11" s="6" t="s">
        <v>310</v>
      </c>
      <c r="D11" s="27" t="n">
        <v>0.3</v>
      </c>
      <c r="E11" s="27" t="n">
        <v>0.07</v>
      </c>
      <c r="F11" s="44" t="n">
        <f aca="false">IF(G11="Y",D11*E11,0)</f>
        <v>0</v>
      </c>
      <c r="G11" s="16" t="s">
        <v>294</v>
      </c>
      <c r="H11" s="15" t="s">
        <v>311</v>
      </c>
    </row>
    <row r="12" customFormat="false" ht="34.5" hidden="false" customHeight="true" outlineLevel="0" collapsed="false">
      <c r="A12" s="19" t="s">
        <v>312</v>
      </c>
      <c r="B12" s="6" t="s">
        <v>313</v>
      </c>
      <c r="C12" s="6" t="s">
        <v>314</v>
      </c>
      <c r="D12" s="27" t="n">
        <v>0.4</v>
      </c>
      <c r="E12" s="27" t="n">
        <v>0.08</v>
      </c>
      <c r="F12" s="44" t="n">
        <f aca="false">IF(G12="Y",D12*E12,0)</f>
        <v>0.032</v>
      </c>
      <c r="G12" s="16" t="s">
        <v>68</v>
      </c>
      <c r="H12" s="15" t="s">
        <v>315</v>
      </c>
    </row>
    <row r="13" customFormat="false" ht="34.5" hidden="false" customHeight="true" outlineLevel="0" collapsed="false">
      <c r="A13" s="19" t="s">
        <v>316</v>
      </c>
      <c r="B13" s="6" t="s">
        <v>317</v>
      </c>
      <c r="C13" s="6" t="s">
        <v>318</v>
      </c>
      <c r="D13" s="27" t="n">
        <v>0.3</v>
      </c>
      <c r="E13" s="27" t="n">
        <v>0.12</v>
      </c>
      <c r="F13" s="44" t="n">
        <f aca="false">IF(G13="Y",D13*E13,0)</f>
        <v>0</v>
      </c>
      <c r="G13" s="16" t="s">
        <v>294</v>
      </c>
      <c r="H13" s="15" t="s">
        <v>319</v>
      </c>
    </row>
    <row r="14" customFormat="false" ht="23.25" hidden="false" customHeight="true" outlineLevel="0" collapsed="false">
      <c r="A14" s="19" t="s">
        <v>320</v>
      </c>
      <c r="B14" s="6" t="s">
        <v>321</v>
      </c>
      <c r="C14" s="6" t="s">
        <v>322</v>
      </c>
      <c r="D14" s="27" t="n">
        <v>0.3</v>
      </c>
      <c r="E14" s="27" t="n">
        <v>0.1</v>
      </c>
      <c r="F14" s="44" t="n">
        <f aca="false">IF(G14="Y",D14*E14,0)</f>
        <v>0</v>
      </c>
      <c r="G14" s="16" t="s">
        <v>294</v>
      </c>
      <c r="H14" s="15" t="s">
        <v>323</v>
      </c>
    </row>
    <row r="15" customFormat="false" ht="23.25" hidden="false" customHeight="true" outlineLevel="0" collapsed="false">
      <c r="A15" s="25"/>
      <c r="B15" s="4" t="s">
        <v>324</v>
      </c>
      <c r="C15" s="25"/>
      <c r="D15" s="25"/>
      <c r="E15" s="25"/>
      <c r="F15" s="45" t="n">
        <f aca="false">SUM(F5:F14)</f>
        <v>0.142</v>
      </c>
      <c r="G15" s="25"/>
      <c r="H15" s="25"/>
    </row>
    <row r="17" customFormat="false" ht="15" hidden="false" customHeight="true" outlineLevel="0" collapsed="false">
      <c r="B17" s="15" t="s">
        <v>325</v>
      </c>
      <c r="C17" s="15"/>
      <c r="D17" s="15"/>
      <c r="E17" s="15"/>
      <c r="F17" s="15"/>
      <c r="G17" s="15"/>
      <c r="H17" s="15"/>
    </row>
  </sheetData>
  <mergeCells count="3">
    <mergeCell ref="A1:H1"/>
    <mergeCell ref="A2:H2"/>
    <mergeCell ref="B17:H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34"/>
    <col collapsed="false" customWidth="true" hidden="false" outlineLevel="0" max="3" min="3" style="1" width="108"/>
  </cols>
  <sheetData>
    <row r="1" customFormat="false" ht="25.5" hidden="false" customHeight="true" outlineLevel="0" collapsed="false">
      <c r="A1" s="2" t="s">
        <v>326</v>
      </c>
      <c r="B1" s="2"/>
      <c r="C1" s="2"/>
    </row>
    <row r="2" customFormat="false" ht="27.75" hidden="false" customHeight="true" outlineLevel="0" collapsed="false">
      <c r="A2" s="3" t="s">
        <v>327</v>
      </c>
      <c r="B2" s="3"/>
      <c r="C2" s="3"/>
    </row>
    <row r="4" customFormat="false" ht="15" hidden="false" customHeight="true" outlineLevel="0" collapsed="false">
      <c r="A4" s="12" t="s">
        <v>328</v>
      </c>
      <c r="B4" s="12" t="s">
        <v>329</v>
      </c>
      <c r="C4" s="12" t="s">
        <v>330</v>
      </c>
    </row>
    <row r="5" customFormat="false" ht="23.25" hidden="false" customHeight="true" outlineLevel="0" collapsed="false">
      <c r="A5" s="19" t="s">
        <v>331</v>
      </c>
      <c r="B5" s="6" t="s">
        <v>332</v>
      </c>
      <c r="C5" s="6" t="s">
        <v>333</v>
      </c>
    </row>
    <row r="6" customFormat="false" ht="23.25" hidden="false" customHeight="true" outlineLevel="0" collapsed="false">
      <c r="A6" s="19" t="s">
        <v>334</v>
      </c>
      <c r="B6" s="6" t="s">
        <v>332</v>
      </c>
      <c r="C6" s="6" t="s">
        <v>335</v>
      </c>
    </row>
    <row r="7" customFormat="false" ht="15" hidden="false" customHeight="true" outlineLevel="0" collapsed="false">
      <c r="A7" s="19" t="s">
        <v>336</v>
      </c>
      <c r="B7" s="6" t="s">
        <v>332</v>
      </c>
      <c r="C7" s="6" t="s">
        <v>337</v>
      </c>
    </row>
    <row r="8" customFormat="false" ht="15" hidden="false" customHeight="true" outlineLevel="0" collapsed="false">
      <c r="A8" s="19" t="s">
        <v>338</v>
      </c>
      <c r="B8" s="6" t="s">
        <v>339</v>
      </c>
      <c r="C8" s="6" t="s">
        <v>340</v>
      </c>
    </row>
    <row r="9" customFormat="false" ht="23.25" hidden="false" customHeight="true" outlineLevel="0" collapsed="false">
      <c r="A9" s="19" t="s">
        <v>341</v>
      </c>
      <c r="B9" s="6" t="s">
        <v>342</v>
      </c>
      <c r="C9" s="6" t="s">
        <v>343</v>
      </c>
    </row>
    <row r="10" customFormat="false" ht="23.25" hidden="false" customHeight="true" outlineLevel="0" collapsed="false">
      <c r="A10" s="19" t="s">
        <v>344</v>
      </c>
      <c r="B10" s="6" t="s">
        <v>345</v>
      </c>
      <c r="C10" s="6" t="s">
        <v>346</v>
      </c>
    </row>
    <row r="11" customFormat="false" ht="23.25" hidden="false" customHeight="true" outlineLevel="0" collapsed="false">
      <c r="A11" s="19" t="s">
        <v>347</v>
      </c>
      <c r="B11" s="6" t="s">
        <v>348</v>
      </c>
      <c r="C11" s="6" t="s">
        <v>349</v>
      </c>
    </row>
    <row r="12" customFormat="false" ht="23.25" hidden="false" customHeight="true" outlineLevel="0" collapsed="false">
      <c r="A12" s="19" t="s">
        <v>350</v>
      </c>
      <c r="B12" s="6" t="s">
        <v>351</v>
      </c>
      <c r="C12" s="6" t="s">
        <v>352</v>
      </c>
    </row>
    <row r="13" customFormat="false" ht="15" hidden="false" customHeight="true" outlineLevel="0" collapsed="false">
      <c r="A13" s="19" t="s">
        <v>353</v>
      </c>
      <c r="B13" s="6" t="s">
        <v>354</v>
      </c>
      <c r="C13" s="6" t="s">
        <v>355</v>
      </c>
    </row>
    <row r="14" customFormat="false" ht="23.25" hidden="false" customHeight="true" outlineLevel="0" collapsed="false">
      <c r="A14" s="19" t="s">
        <v>356</v>
      </c>
      <c r="B14" s="6" t="s">
        <v>357</v>
      </c>
      <c r="C14" s="6" t="s">
        <v>358</v>
      </c>
    </row>
    <row r="15" customFormat="false" ht="23.25" hidden="false" customHeight="true" outlineLevel="0" collapsed="false">
      <c r="A15" s="19" t="s">
        <v>359</v>
      </c>
      <c r="B15" s="6" t="s">
        <v>360</v>
      </c>
      <c r="C15" s="6" t="s">
        <v>361</v>
      </c>
    </row>
    <row r="16" customFormat="false" ht="23.25" hidden="false" customHeight="true" outlineLevel="0" collapsed="false">
      <c r="A16" s="19" t="s">
        <v>362</v>
      </c>
      <c r="B16" s="6" t="s">
        <v>363</v>
      </c>
      <c r="C16" s="6" t="s">
        <v>364</v>
      </c>
    </row>
    <row r="17" customFormat="false" ht="15" hidden="false" customHeight="true" outlineLevel="0" collapsed="false">
      <c r="A17" s="19" t="s">
        <v>365</v>
      </c>
      <c r="B17" s="6" t="s">
        <v>366</v>
      </c>
      <c r="C17" s="6" t="s">
        <v>367</v>
      </c>
    </row>
    <row r="18" customFormat="false" ht="23.25" hidden="false" customHeight="true" outlineLevel="0" collapsed="false">
      <c r="A18" s="19" t="s">
        <v>368</v>
      </c>
      <c r="B18" s="6" t="s">
        <v>369</v>
      </c>
      <c r="C18" s="6" t="s">
        <v>370</v>
      </c>
    </row>
    <row r="19" customFormat="false" ht="23.25" hidden="false" customHeight="true" outlineLevel="0" collapsed="false">
      <c r="A19" s="19" t="s">
        <v>371</v>
      </c>
      <c r="B19" s="6" t="s">
        <v>372</v>
      </c>
      <c r="C19" s="6" t="s">
        <v>373</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6"/>
    <col collapsed="false" customWidth="true" hidden="false" outlineLevel="0" max="3" min="3" style="1" width="60"/>
    <col collapsed="false" customWidth="true" hidden="false" outlineLevel="0" max="4" min="4" style="1" width="16"/>
    <col collapsed="false" customWidth="true" hidden="false" outlineLevel="0" max="5" min="5" style="1" width="60"/>
  </cols>
  <sheetData>
    <row r="1" customFormat="false" ht="25.5" hidden="false" customHeight="true" outlineLevel="0" collapsed="false">
      <c r="A1" s="2" t="s">
        <v>374</v>
      </c>
      <c r="B1" s="2"/>
      <c r="C1" s="2"/>
      <c r="D1" s="2"/>
      <c r="E1" s="2"/>
    </row>
    <row r="2" customFormat="false" ht="27.75" hidden="false" customHeight="true" outlineLevel="0" collapsed="false">
      <c r="A2" s="3" t="s">
        <v>375</v>
      </c>
      <c r="B2" s="3"/>
      <c r="C2" s="3"/>
      <c r="D2" s="3"/>
      <c r="E2" s="3"/>
    </row>
    <row r="4" customFormat="false" ht="15" hidden="false" customHeight="true" outlineLevel="0" collapsed="false">
      <c r="A4" s="12" t="s">
        <v>93</v>
      </c>
      <c r="B4" s="12" t="s">
        <v>376</v>
      </c>
      <c r="C4" s="12" t="s">
        <v>377</v>
      </c>
      <c r="D4" s="12" t="s">
        <v>378</v>
      </c>
      <c r="E4" s="12" t="s">
        <v>379</v>
      </c>
    </row>
    <row r="5" customFormat="false" ht="34.5" hidden="false" customHeight="true" outlineLevel="0" collapsed="false">
      <c r="A5" s="19" t="s">
        <v>106</v>
      </c>
      <c r="B5" s="6" t="s">
        <v>380</v>
      </c>
      <c r="C5" s="6" t="s">
        <v>381</v>
      </c>
      <c r="D5" s="46" t="s">
        <v>382</v>
      </c>
      <c r="E5" s="15" t="s">
        <v>383</v>
      </c>
    </row>
    <row r="6" customFormat="false" ht="57" hidden="false" customHeight="true" outlineLevel="0" collapsed="false">
      <c r="A6" s="19" t="s">
        <v>111</v>
      </c>
      <c r="B6" s="6" t="s">
        <v>384</v>
      </c>
      <c r="C6" s="6" t="s">
        <v>385</v>
      </c>
      <c r="D6" s="46" t="s">
        <v>382</v>
      </c>
      <c r="E6" s="15" t="s">
        <v>386</v>
      </c>
    </row>
    <row r="7" customFormat="false" ht="45.75" hidden="false" customHeight="true" outlineLevel="0" collapsed="false">
      <c r="A7" s="19" t="s">
        <v>98</v>
      </c>
      <c r="B7" s="6" t="s">
        <v>387</v>
      </c>
      <c r="C7" s="6" t="s">
        <v>388</v>
      </c>
      <c r="D7" s="46" t="s">
        <v>382</v>
      </c>
      <c r="E7" s="15" t="s">
        <v>389</v>
      </c>
    </row>
    <row r="8" customFormat="false" ht="34.5" hidden="false" customHeight="true" outlineLevel="0" collapsed="false">
      <c r="A8" s="19" t="s">
        <v>133</v>
      </c>
      <c r="B8" s="6" t="s">
        <v>390</v>
      </c>
      <c r="C8" s="6" t="s">
        <v>391</v>
      </c>
      <c r="D8" s="46" t="s">
        <v>382</v>
      </c>
      <c r="E8" s="15" t="s">
        <v>392</v>
      </c>
    </row>
    <row r="9" customFormat="false" ht="57" hidden="false" customHeight="true" outlineLevel="0" collapsed="false">
      <c r="A9" s="19" t="s">
        <v>147</v>
      </c>
      <c r="B9" s="6" t="s">
        <v>393</v>
      </c>
      <c r="C9" s="6" t="s">
        <v>394</v>
      </c>
      <c r="D9" s="46" t="s">
        <v>382</v>
      </c>
      <c r="E9" s="15" t="s">
        <v>395</v>
      </c>
    </row>
    <row r="10" customFormat="false" ht="34.5" hidden="false" customHeight="true" outlineLevel="0" collapsed="false">
      <c r="A10" s="19" t="s">
        <v>116</v>
      </c>
      <c r="B10" s="6" t="s">
        <v>396</v>
      </c>
      <c r="C10" s="6" t="s">
        <v>397</v>
      </c>
      <c r="D10" s="47" t="s">
        <v>398</v>
      </c>
      <c r="E10" s="15" t="s">
        <v>399</v>
      </c>
    </row>
    <row r="11" customFormat="false" ht="45.75" hidden="false" customHeight="true" outlineLevel="0" collapsed="false">
      <c r="A11" s="19" t="s">
        <v>400</v>
      </c>
      <c r="B11" s="6" t="s">
        <v>401</v>
      </c>
      <c r="C11" s="6" t="s">
        <v>402</v>
      </c>
      <c r="D11" s="46" t="s">
        <v>382</v>
      </c>
      <c r="E11" s="15" t="s">
        <v>403</v>
      </c>
    </row>
    <row r="13" customFormat="false" ht="15" hidden="false" customHeight="true" outlineLevel="0" collapsed="false">
      <c r="A13" s="10" t="s">
        <v>404</v>
      </c>
      <c r="B13" s="11" t="s">
        <v>405</v>
      </c>
      <c r="C13" s="11"/>
      <c r="D13" s="11"/>
      <c r="E13" s="11"/>
    </row>
  </sheetData>
  <mergeCells count="3">
    <mergeCell ref="A1:E1"/>
    <mergeCell ref="A2:E2"/>
    <mergeCell ref="B13:E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2026-07-22T04:15:26Z</dcterms:created>
  <dc:creator>openpyxl</dc:creator>
  <dc:description/>
  <dc:language>en-US</dc:language>
  <cp:lastModifiedBy/>
  <dcterms:modified xsi:type="dcterms:W3CDTF">2026-07-22T04:18:24Z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