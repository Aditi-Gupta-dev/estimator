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1DF002D3-3CB6-4926-BC5F-352D1D998E35}" xr6:coauthVersionLast="47" xr6:coauthVersionMax="47" xr10:uidLastSave="{00000000-0000-0000-0000-000000000000}"/>
  <bookViews>
    <workbookView xWindow="-110" yWindow="-110" windowWidth="19420" windowHeight="10300" tabRatio="500" firstSheet="2" activeTab="4" xr2:uid="{00000000-000D-0000-FFFF-FFFF00000000}"/>
  </bookViews>
  <sheets>
    <sheet name="📋 Cover" sheetId="1" r:id="rId1"/>
    <sheet name="1. Assessment &amp; Roadmap" sheetId="2" r:id="rId2"/>
    <sheet name="2. Effort Estimation" sheetId="3" r:id="rId3"/>
    <sheet name="9. Calibration Engine" sheetId="4" r:id="rId4"/>
    <sheet name="3. Benefit Sharing" sheetId="5" r:id="rId5"/>
    <sheet name="4. Governance &amp; KPIs" sheetId="6" r:id="rId6"/>
    <sheet name="5. ROI &amp; Financial Model" sheetId="7" r:id="rId7"/>
    <sheet name="6. Risk Register" sheetId="8" r:id="rId8"/>
    <sheet name="7. Tooling &amp; Stack" sheetId="9" r:id="rId9"/>
    <sheet name="8. Executive Dashboard" sheetId="10" r:id="rId10"/>
    <sheet name="10. WS Activity Guide"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1" i="9" l="1"/>
  <c r="I31" i="9"/>
  <c r="J30" i="9"/>
  <c r="I30" i="9"/>
  <c r="J29" i="9"/>
  <c r="I29" i="9"/>
  <c r="J27" i="9"/>
  <c r="I27" i="9"/>
  <c r="I26" i="9"/>
  <c r="J26" i="9" s="1"/>
  <c r="I25" i="9"/>
  <c r="J25" i="9" s="1"/>
  <c r="J24" i="9"/>
  <c r="I24" i="9"/>
  <c r="J22" i="9"/>
  <c r="I22" i="9"/>
  <c r="J21" i="9"/>
  <c r="I21" i="9"/>
  <c r="J20" i="9"/>
  <c r="I20" i="9"/>
  <c r="J19" i="9"/>
  <c r="I19" i="9"/>
  <c r="J17" i="9"/>
  <c r="I17" i="9"/>
  <c r="I16" i="9"/>
  <c r="J16" i="9" s="1"/>
  <c r="I15" i="9"/>
  <c r="J15" i="9" s="1"/>
  <c r="J14" i="9"/>
  <c r="I14" i="9"/>
  <c r="J12" i="9"/>
  <c r="I12" i="9"/>
  <c r="J11" i="9"/>
  <c r="I11" i="9"/>
  <c r="J10" i="9"/>
  <c r="I10" i="9"/>
  <c r="J9" i="9"/>
  <c r="I9" i="9"/>
  <c r="J8" i="9"/>
  <c r="I8" i="9"/>
  <c r="F23" i="8"/>
  <c r="G23" i="8" s="1"/>
  <c r="F22" i="8"/>
  <c r="G22" i="8" s="1"/>
  <c r="G21" i="8"/>
  <c r="F21" i="8"/>
  <c r="G20" i="8"/>
  <c r="F20" i="8"/>
  <c r="G19" i="8"/>
  <c r="F19" i="8"/>
  <c r="G18" i="8"/>
  <c r="F18" i="8"/>
  <c r="G17" i="8"/>
  <c r="F17" i="8"/>
  <c r="G16" i="8"/>
  <c r="F16" i="8"/>
  <c r="F15" i="8"/>
  <c r="G15" i="8" s="1"/>
  <c r="F14" i="8"/>
  <c r="G14" i="8" s="1"/>
  <c r="G13" i="8"/>
  <c r="F13" i="8"/>
  <c r="G12" i="8"/>
  <c r="F12" i="8"/>
  <c r="G11" i="8"/>
  <c r="F11" i="8"/>
  <c r="G10" i="8"/>
  <c r="F10" i="8"/>
  <c r="D36" i="7"/>
  <c r="H35" i="7"/>
  <c r="G35" i="7"/>
  <c r="F35" i="7"/>
  <c r="E35" i="7"/>
  <c r="H34" i="7"/>
  <c r="G34" i="7"/>
  <c r="F34" i="7"/>
  <c r="E34" i="7"/>
  <c r="H33" i="7"/>
  <c r="G33" i="7"/>
  <c r="F33" i="7"/>
  <c r="E33" i="7"/>
  <c r="G32" i="7"/>
  <c r="F32" i="7"/>
  <c r="E32" i="7"/>
  <c r="E36" i="7" s="1"/>
  <c r="H31" i="7"/>
  <c r="G31" i="7"/>
  <c r="G36" i="7" s="1"/>
  <c r="G38" i="7" s="1"/>
  <c r="F31" i="7"/>
  <c r="F36" i="7" s="1"/>
  <c r="E31" i="7"/>
  <c r="G27" i="7"/>
  <c r="F27" i="7"/>
  <c r="E27" i="7"/>
  <c r="H27" i="7" s="1"/>
  <c r="D27" i="7"/>
  <c r="G26" i="7"/>
  <c r="G28" i="7" s="1"/>
  <c r="F26" i="7"/>
  <c r="H26" i="7" s="1"/>
  <c r="E26" i="7"/>
  <c r="H25" i="7"/>
  <c r="E25" i="7"/>
  <c r="E28" i="7" s="1"/>
  <c r="D25" i="7"/>
  <c r="D28" i="7" s="1"/>
  <c r="I29" i="6"/>
  <c r="J29" i="6" s="1"/>
  <c r="I28" i="6"/>
  <c r="J28" i="6" s="1"/>
  <c r="J27" i="6"/>
  <c r="I27" i="6"/>
  <c r="I26" i="6"/>
  <c r="J26" i="6" s="1"/>
  <c r="I25" i="6"/>
  <c r="J25" i="6" s="1"/>
  <c r="I24" i="6"/>
  <c r="J24" i="6" s="1"/>
  <c r="I23" i="6"/>
  <c r="J23" i="6" s="1"/>
  <c r="J22" i="6"/>
  <c r="I22" i="6"/>
  <c r="K17" i="6"/>
  <c r="J17" i="6"/>
  <c r="I17" i="6"/>
  <c r="K16" i="6"/>
  <c r="J16" i="6"/>
  <c r="I16" i="6"/>
  <c r="K15" i="6"/>
  <c r="J15" i="6"/>
  <c r="I15" i="6"/>
  <c r="K14" i="6"/>
  <c r="J14" i="6"/>
  <c r="I14" i="6"/>
  <c r="K13" i="6"/>
  <c r="J13" i="6"/>
  <c r="I13" i="6"/>
  <c r="K12" i="6"/>
  <c r="J12" i="6"/>
  <c r="I12" i="6"/>
  <c r="K11" i="6"/>
  <c r="J11" i="6"/>
  <c r="I11" i="6"/>
  <c r="K10" i="6"/>
  <c r="J10" i="6"/>
  <c r="I10" i="6"/>
  <c r="K9" i="6"/>
  <c r="J9" i="6"/>
  <c r="I9" i="6"/>
  <c r="K8" i="6"/>
  <c r="J8" i="6"/>
  <c r="I8" i="6"/>
  <c r="K7" i="6"/>
  <c r="J7" i="6"/>
  <c r="I7" i="6"/>
  <c r="K6" i="6"/>
  <c r="J6" i="6"/>
  <c r="I6" i="6"/>
  <c r="K32" i="5"/>
  <c r="K31" i="5"/>
  <c r="K30" i="5"/>
  <c r="K29" i="5"/>
  <c r="K28" i="5"/>
  <c r="K27" i="5"/>
  <c r="K26" i="5"/>
  <c r="F21" i="5"/>
  <c r="I20" i="5"/>
  <c r="H20" i="5"/>
  <c r="F20" i="5"/>
  <c r="I19" i="5"/>
  <c r="F19" i="5"/>
  <c r="H19" i="5" s="1"/>
  <c r="I18" i="5"/>
  <c r="F18" i="5"/>
  <c r="H18" i="5" s="1"/>
  <c r="F17" i="5"/>
  <c r="H17" i="5" s="1"/>
  <c r="I16" i="5"/>
  <c r="H16" i="5"/>
  <c r="H21" i="5" s="1"/>
  <c r="F16" i="5"/>
  <c r="I15" i="5"/>
  <c r="H15" i="5"/>
  <c r="F15" i="5"/>
  <c r="I14" i="5"/>
  <c r="H14" i="5"/>
  <c r="F14" i="5"/>
  <c r="C74" i="4"/>
  <c r="F73" i="4"/>
  <c r="G73" i="4" s="1"/>
  <c r="E73" i="4"/>
  <c r="D73" i="4"/>
  <c r="C73" i="4"/>
  <c r="F72" i="4"/>
  <c r="G72" i="4" s="1"/>
  <c r="E72" i="4"/>
  <c r="D72" i="4"/>
  <c r="C72" i="4"/>
  <c r="F71" i="4"/>
  <c r="E71" i="4"/>
  <c r="D71" i="4"/>
  <c r="C71" i="4"/>
  <c r="G71" i="4" s="1"/>
  <c r="G70" i="4"/>
  <c r="F70" i="4"/>
  <c r="E70" i="4"/>
  <c r="D70" i="4"/>
  <c r="C70" i="4"/>
  <c r="F69" i="4"/>
  <c r="E69" i="4"/>
  <c r="D69" i="4"/>
  <c r="C69" i="4"/>
  <c r="G69" i="4" s="1"/>
  <c r="F68" i="4"/>
  <c r="G68" i="4" s="1"/>
  <c r="E68" i="4"/>
  <c r="D68" i="4"/>
  <c r="C68" i="4"/>
  <c r="F67" i="4"/>
  <c r="G67" i="4" s="1"/>
  <c r="E67" i="4"/>
  <c r="D67" i="4"/>
  <c r="C67" i="4"/>
  <c r="F66" i="4"/>
  <c r="E66" i="4"/>
  <c r="D66" i="4"/>
  <c r="C66" i="4"/>
  <c r="G66" i="4" s="1"/>
  <c r="G65" i="4"/>
  <c r="F65" i="4"/>
  <c r="E65" i="4"/>
  <c r="D65" i="4"/>
  <c r="C65" i="4"/>
  <c r="F64" i="4"/>
  <c r="F74" i="4" s="1"/>
  <c r="E64" i="4"/>
  <c r="E74" i="4" s="1"/>
  <c r="D64" i="4"/>
  <c r="G64" i="4" s="1"/>
  <c r="C64" i="4"/>
  <c r="S60" i="4"/>
  <c r="R60" i="4"/>
  <c r="Q60" i="4"/>
  <c r="P60" i="4"/>
  <c r="O60" i="4"/>
  <c r="N60" i="4"/>
  <c r="M60" i="4"/>
  <c r="L60" i="4"/>
  <c r="K60" i="4"/>
  <c r="J60" i="4"/>
  <c r="I60" i="4"/>
  <c r="H60" i="4"/>
  <c r="G60" i="4"/>
  <c r="F60" i="4"/>
  <c r="E60" i="4"/>
  <c r="D60" i="4"/>
  <c r="N34" i="4"/>
  <c r="H34" i="4"/>
  <c r="N33" i="4"/>
  <c r="H33" i="4"/>
  <c r="N32" i="4"/>
  <c r="H32" i="4"/>
  <c r="N31" i="4"/>
  <c r="H31" i="4"/>
  <c r="N30" i="4"/>
  <c r="H30" i="4"/>
  <c r="N29" i="4"/>
  <c r="H29" i="4"/>
  <c r="N28" i="4"/>
  <c r="M35" i="4" s="1"/>
  <c r="H28" i="4"/>
  <c r="N23" i="4"/>
  <c r="H23" i="4"/>
  <c r="N22" i="4"/>
  <c r="H22" i="4"/>
  <c r="N21" i="4"/>
  <c r="H21" i="4"/>
  <c r="N20" i="4"/>
  <c r="H20" i="4"/>
  <c r="N19" i="4"/>
  <c r="M24" i="4" s="1"/>
  <c r="H19" i="4"/>
  <c r="N14" i="4"/>
  <c r="M15" i="4" s="1"/>
  <c r="H14" i="4"/>
  <c r="N13" i="4"/>
  <c r="H13" i="4"/>
  <c r="N12" i="4"/>
  <c r="H12" i="4"/>
  <c r="N11" i="4"/>
  <c r="H11" i="4"/>
  <c r="N10" i="4"/>
  <c r="H10" i="4"/>
  <c r="N9" i="4"/>
  <c r="H9" i="4"/>
  <c r="N8" i="4"/>
  <c r="H8" i="4"/>
  <c r="J24" i="3"/>
  <c r="I24" i="3"/>
  <c r="E24" i="3"/>
  <c r="J23" i="3"/>
  <c r="I23" i="3"/>
  <c r="E23" i="3"/>
  <c r="J22" i="3"/>
  <c r="I22" i="3"/>
  <c r="E22" i="3"/>
  <c r="J21" i="3"/>
  <c r="I21" i="3"/>
  <c r="E21" i="3"/>
  <c r="H17" i="3"/>
  <c r="G17" i="3"/>
  <c r="F17" i="3"/>
  <c r="E17" i="3"/>
  <c r="D17" i="3"/>
  <c r="L16" i="3"/>
  <c r="K16" i="3"/>
  <c r="J16" i="3"/>
  <c r="I16" i="3"/>
  <c r="H16" i="3"/>
  <c r="L15" i="3"/>
  <c r="H15" i="3"/>
  <c r="J15" i="3" s="1"/>
  <c r="L14" i="3"/>
  <c r="K14" i="3"/>
  <c r="J14" i="3"/>
  <c r="I14" i="3"/>
  <c r="H14" i="3"/>
  <c r="L13" i="3"/>
  <c r="J13" i="3"/>
  <c r="H13" i="3"/>
  <c r="I13" i="3" s="1"/>
  <c r="K13" i="3" s="1"/>
  <c r="L12" i="3"/>
  <c r="H12" i="3"/>
  <c r="J12" i="3" s="1"/>
  <c r="L11" i="3"/>
  <c r="J11" i="3"/>
  <c r="H11" i="3"/>
  <c r="I11" i="3" s="1"/>
  <c r="K11" i="3" s="1"/>
  <c r="L10" i="3"/>
  <c r="K10" i="3"/>
  <c r="J10" i="3"/>
  <c r="I10" i="3"/>
  <c r="H10" i="3"/>
  <c r="L9" i="3"/>
  <c r="H9" i="3"/>
  <c r="J9" i="3" s="1"/>
  <c r="L8" i="3"/>
  <c r="J8" i="3"/>
  <c r="J17" i="3" s="1"/>
  <c r="I8" i="3"/>
  <c r="K8" i="3" s="1"/>
  <c r="H8" i="3"/>
  <c r="L7" i="3"/>
  <c r="L17" i="3" s="1"/>
  <c r="K7" i="3"/>
  <c r="J7" i="3"/>
  <c r="I7" i="3"/>
  <c r="H7" i="3"/>
  <c r="G33" i="2"/>
  <c r="G32" i="2"/>
  <c r="G31" i="2"/>
  <c r="G30" i="2"/>
  <c r="I25" i="2"/>
  <c r="L25" i="2" s="1"/>
  <c r="K23" i="2"/>
  <c r="L23" i="2" s="1"/>
  <c r="K22" i="2"/>
  <c r="L22" i="2" s="1"/>
  <c r="K21" i="2"/>
  <c r="L21" i="2" s="1"/>
  <c r="L20" i="2"/>
  <c r="K20" i="2"/>
  <c r="K19" i="2"/>
  <c r="L19" i="2" s="1"/>
  <c r="K18" i="2"/>
  <c r="L18" i="2" s="1"/>
  <c r="K17" i="2"/>
  <c r="L17" i="2" s="1"/>
  <c r="K16" i="2"/>
  <c r="L16" i="2" s="1"/>
  <c r="K15" i="2"/>
  <c r="L15" i="2" s="1"/>
  <c r="K14" i="2"/>
  <c r="L14" i="2" s="1"/>
  <c r="K13" i="2"/>
  <c r="L13" i="2" s="1"/>
  <c r="L12" i="2"/>
  <c r="K12" i="2"/>
  <c r="K11" i="2"/>
  <c r="L11" i="2" s="1"/>
  <c r="K10" i="2"/>
  <c r="L10" i="2" s="1"/>
  <c r="K9" i="2"/>
  <c r="L9" i="2" s="1"/>
  <c r="K8" i="2"/>
  <c r="L8" i="2" s="1"/>
  <c r="D38" i="7" l="1"/>
  <c r="H38" i="7"/>
  <c r="G39" i="7"/>
  <c r="E38" i="7"/>
  <c r="E39" i="7" s="1"/>
  <c r="H36" i="7"/>
  <c r="G74" i="4"/>
  <c r="H28" i="7"/>
  <c r="C44" i="7" s="1"/>
  <c r="C38" i="4"/>
  <c r="K17" i="3"/>
  <c r="I15" i="3"/>
  <c r="K15" i="3" s="1"/>
  <c r="I12" i="3"/>
  <c r="K12" i="3" s="1"/>
  <c r="I9" i="3"/>
  <c r="K9" i="3" s="1"/>
  <c r="I17" i="5"/>
  <c r="I21" i="5" s="1"/>
  <c r="H32" i="7"/>
  <c r="D74" i="4"/>
  <c r="I17" i="3"/>
  <c r="F28" i="7"/>
  <c r="F38" i="7" s="1"/>
  <c r="F39" i="7" s="1"/>
  <c r="A44" i="7" l="1"/>
  <c r="G44" i="7"/>
  <c r="E44" i="7"/>
  <c r="D39" i="7"/>
  <c r="I44" i="7"/>
  <c r="D40" i="7"/>
  <c r="E40" i="7" s="1"/>
  <c r="F40" i="7" s="1"/>
  <c r="G40" i="7" s="1"/>
  <c r="K44" i="7" s="1"/>
  <c r="K38" i="4"/>
  <c r="G38" i="4"/>
  <c r="H73" i="4" l="1"/>
  <c r="I73" i="4" s="1"/>
  <c r="H65" i="4"/>
  <c r="I65" i="4" s="1"/>
  <c r="H64" i="4"/>
  <c r="I64" i="4" s="1"/>
  <c r="H68" i="4"/>
  <c r="I68" i="4" s="1"/>
  <c r="H72" i="4"/>
  <c r="I72" i="4" s="1"/>
  <c r="H67" i="4"/>
  <c r="I67" i="4" s="1"/>
  <c r="H71" i="4"/>
  <c r="I71" i="4" s="1"/>
  <c r="H66" i="4"/>
  <c r="I66" i="4" s="1"/>
  <c r="H69" i="4"/>
  <c r="I69" i="4" s="1"/>
  <c r="H70" i="4"/>
  <c r="I70" i="4" s="1"/>
  <c r="N70" i="4" l="1"/>
  <c r="K70" i="4"/>
  <c r="J70" i="4"/>
  <c r="N72" i="4"/>
  <c r="K72" i="4"/>
  <c r="J72" i="4"/>
  <c r="N69" i="4"/>
  <c r="K69" i="4"/>
  <c r="J69" i="4"/>
  <c r="N66" i="4"/>
  <c r="K66" i="4"/>
  <c r="J66" i="4"/>
  <c r="N71" i="4"/>
  <c r="K71" i="4"/>
  <c r="J71" i="4"/>
  <c r="K67" i="4"/>
  <c r="N67" i="4"/>
  <c r="J67" i="4"/>
  <c r="J68" i="4"/>
  <c r="N68" i="4"/>
  <c r="K68" i="4"/>
  <c r="I74" i="4"/>
  <c r="N64" i="4"/>
  <c r="K64" i="4"/>
  <c r="J64" i="4"/>
  <c r="J74" i="4" s="1"/>
  <c r="N65" i="4"/>
  <c r="K65" i="4"/>
  <c r="J65" i="4"/>
  <c r="K73" i="4"/>
  <c r="J73" i="4"/>
  <c r="N73" i="4"/>
  <c r="K74" i="4" l="1"/>
</calcChain>
</file>

<file path=xl/sharedStrings.xml><?xml version="1.0" encoding="utf-8"?>
<sst xmlns="http://schemas.openxmlformats.org/spreadsheetml/2006/main" count="2611" uniqueCount="1974">
  <si>
    <t>AIOps Estimator
AMS &amp; IT Operations</t>
  </si>
  <si>
    <t>Comprehensive Roadmap · Effort Estimation · Benefit Sharing · Governance KPIs</t>
  </si>
  <si>
    <t>Sheet Navigation — 8 Modules</t>
  </si>
  <si>
    <t>1</t>
  </si>
  <si>
    <t>1. Assessment &amp; Roadmap</t>
  </si>
  <si>
    <t>AIOps readiness scoring + 4-phase roadmap definition</t>
  </si>
  <si>
    <t>Sheet 2
⚙️ Effort
Estimation</t>
  </si>
  <si>
    <t>Sheet 3
💰 Benefit
Sharing Model</t>
  </si>
  <si>
    <t>Sheet 4
🏆 Governance
&amp; KPIs</t>
  </si>
  <si>
    <t>2</t>
  </si>
  <si>
    <t>2. Effort Estimation</t>
  </si>
  <si>
    <t>Workstream hours, roles, costs and timeline by phase</t>
  </si>
  <si>
    <t>3</t>
  </si>
  <si>
    <t>3. Benefit Sharing</t>
  </si>
  <si>
    <t>4 commercial models, gainshare calculator, KPI payments</t>
  </si>
  <si>
    <t>4</t>
  </si>
  <si>
    <t>4. Governance &amp; KPIs</t>
  </si>
  <si>
    <t>KPI scorecard, value tracker, RACI and governance cadence</t>
  </si>
  <si>
    <t>5</t>
  </si>
  <si>
    <t>5. ROI &amp; Financial Model</t>
  </si>
  <si>
    <t>3-year P&amp;L, NPV, payback period, business case summary</t>
  </si>
  <si>
    <t>6</t>
  </si>
  <si>
    <t>6. Risk Register</t>
  </si>
  <si>
    <t>14 programme risks with heat map and mitigation owners</t>
  </si>
  <si>
    <t>7</t>
  </si>
  <si>
    <t>7. Tooling &amp; Stack</t>
  </si>
  <si>
    <t>20+ tool evaluations across 5 layers with scoring</t>
  </si>
  <si>
    <t>8</t>
  </si>
  <si>
    <t>8. Executive Dashboard</t>
  </si>
  <si>
    <t>Phase tracker, KPI dashboard, top risks — for SteerCo</t>
  </si>
  <si>
    <t>10</t>
  </si>
  <si>
    <t>10. WS Activity Guide</t>
  </si>
  <si>
    <t>43 activities across 10 WS × 4 phases — inputs, outputs, roles, effort, tools, quality gates, ITSM touchpoints, risk</t>
  </si>
  <si>
    <t>BLUE cells</t>
  </si>
  <si>
    <t>Input fields (BLUE) — change these to model your engagement (rates, hours, scope)</t>
  </si>
  <si>
    <t>BLACK cells</t>
  </si>
  <si>
    <t>Calculated formulas (BLACK) — do not edit directly</t>
  </si>
  <si>
    <t>YELLOW cells</t>
  </si>
  <si>
    <t>Key assumptions (YELLOW) — requiring customer validation</t>
  </si>
  <si>
    <t>GREEN cells</t>
  </si>
  <si>
    <t>Links from other sheets (GREEN) — auto-populated</t>
  </si>
  <si>
    <t>Sheet 1</t>
  </si>
  <si>
    <t>Assessment &amp; Roadmap — 4-phase AIOps journey with use case scoring</t>
  </si>
  <si>
    <t>Sheet 2</t>
  </si>
  <si>
    <t>Effort Estimation — workstream hours, roles, costs, timeline by phase</t>
  </si>
  <si>
    <t>Sheet 3</t>
  </si>
  <si>
    <t>Benefit Sharing — 4 commercial models with gainshare calculator</t>
  </si>
  <si>
    <t>Sheet 4</t>
  </si>
  <si>
    <t>Governance &amp; KPIs — measurement framework and scorecard</t>
  </si>
  <si>
    <t>AIOps Assessment &amp; Roadmap — 4-Phase Journey</t>
  </si>
  <si>
    <t xml:space="preserve">  Rate each sub-dimension 1–5 using the scoring descriptions in columns D–H. Enter your score in column I (blue). Gap, Priority and Readiness Score calculate automatically.</t>
  </si>
  <si>
    <t xml:space="preserve">  HOW TO USE THIS ASSESSMENT — Scoring Instructions</t>
  </si>
  <si>
    <t>STEP 1 — Read descriptions
For each sub-dimension (column C), read what Score 1 through 5 looks like in practice (columns D–H).</t>
  </si>
  <si>
    <t>STEP 2 — Enter your score
Enter the score (1–5) in the blue column I cell. Pick the description that best matches the customer's current state.</t>
  </si>
  <si>
    <t>STEP 3 — Review gap &amp; priority
Column K (Gap) = Benchmark minus your Score. Column L auto-flags High / Medium / Low priority.</t>
  </si>
  <si>
    <t>STEP 4 — Document evidence
Enter evidence or observations in column M (Notes). This becomes the basis for the readiness report narrative.</t>
  </si>
  <si>
    <t xml:space="preserve">  SECTION A — AIOps Readiness Assessment (16 Sub-Dimensions)</t>
  </si>
  <si>
    <t>#</t>
  </si>
  <si>
    <t>Assessment
Dimension</t>
  </si>
  <si>
    <t>Sub-Dimension</t>
  </si>
  <si>
    <t>Score 1
(Very Poor — None)</t>
  </si>
  <si>
    <t>Score 2
(Poor — Basic)</t>
  </si>
  <si>
    <t>Score 3
(Developing — Partial)</t>
  </si>
  <si>
    <t>Score 4
(Good — Mature)</t>
  </si>
  <si>
    <t>Score 5
(Excellent — Leading)</t>
  </si>
  <si>
    <t>Your
Score
(1–5)</t>
  </si>
  <si>
    <t>Industry
Benchmark</t>
  </si>
  <si>
    <t>Gap</t>
  </si>
  <si>
    <t>Priority</t>
  </si>
  <si>
    <t>Notes / Evidence (enter observations to support your score)</t>
  </si>
  <si>
    <t>Data &amp; Observability</t>
  </si>
  <si>
    <t>Log aggregation &amp; quality</t>
  </si>
  <si>
    <t>No central log mgmt. Logs on local disk per server. No search or alerting on logs.</t>
  </si>
  <si>
    <t>Some log shipping. 1–2 tools collecting partial estate. Coverage gaps &gt;40%.</t>
  </si>
  <si>
    <t>Central aggregation for Tier-1 systems. 60–80% coverage. Some parsing gaps remaining.</t>
  </si>
  <si>
    <t>Central aggregation &gt;90% estate. Structured parsing. Retention policy set. Low-latency.</t>
  </si>
  <si>
    <t>Full central log platform. 100% coverage. Real-time structured logs. Quality-scored &amp; catalogued.</t>
  </si>
  <si>
    <t>Enter evidence / observation</t>
  </si>
  <si>
    <t>Metrics coverage (infra/app)</t>
  </si>
  <si>
    <t>No metrics platform. Only basic OS checks (ping, disk). No dashboards or alerting.</t>
  </si>
  <si>
    <t>Basic infra metrics (CPU/RAM/disk only). No app-layer metrics. Manual/static dashboards.</t>
  </si>
  <si>
    <t>Infra + some app metrics. Prometheus or Datadog partially deployed. Container gaps.</t>
  </si>
  <si>
    <t>Full infra + app metrics. Container/K8s covered. Alerting thresholds set and reviewed.</t>
  </si>
  <si>
    <t>Full-stack metrics incl. business KPIs, SLOs, real-time dashboards, auto-baselines.</t>
  </si>
  <si>
    <t>CMDB accuracy &amp; completeness</t>
  </si>
  <si>
    <t>No CMDB or completely stale (&gt;50% inaccurate). Manual spreadsheets used instead.</t>
  </si>
  <si>
    <t>CMDB exists but rarely updated. &lt;60% CI accuracy. No auto-discovery in place.</t>
  </si>
  <si>
    <t>CMDB with auto-discovery for some layers. 60–75% accuracy. Known gaps documented.</t>
  </si>
  <si>
    <t>CMDB with multi-layer auto-discovery. 75–90% accurate. Regular audit cycle in place.</t>
  </si>
  <si>
    <t>Real-time CMDB sync from discovery tools. &gt;90% accuracy verified. Relationship maps complete.</t>
  </si>
  <si>
    <t>Tracing &amp; APM maturity</t>
  </si>
  <si>
    <t>No APM or distributed tracing. Applications are black boxes. No transaction visibility.</t>
  </si>
  <si>
    <t>APM on 1–2 apps only. No distributed tracing. Limited to basic response time metrics.</t>
  </si>
  <si>
    <t>APM on Tier-1 apps. Partial distributed tracing (OpenTelemetry pilot). Service gaps remain.</t>
  </si>
  <si>
    <t>APM full production coverage. Distributed tracing across main services. SLO tracking live.</t>
  </si>
  <si>
    <t>Full observability: traces, metrics, logs correlated per request. Auto-instrumentation standard.</t>
  </si>
  <si>
    <t>Tooling Landscape</t>
  </si>
  <si>
    <t>ITSM platform (ServiceNow/Remedy)</t>
  </si>
  <si>
    <t>No ITSM. Tickets managed via email or spreadsheet. No SLA tracking whatsoever.</t>
  </si>
  <si>
    <t>Basic ITSM (Jira Service Mgmt or legacy Remedy). Limited workflows. No REST API.</t>
  </si>
  <si>
    <t>ITSM with incident + change management. APIs available. Some workflow customisation.</t>
  </si>
  <si>
    <t>Full ITSM (ServiceNow ITSM Pro). Mature workflows. API-enabled. Active CAB process.</t>
  </si>
  <si>
    <t>ITSM as platform of record. Full ITIL4. Integration Hub available. Rich API ecosystem.</t>
  </si>
  <si>
    <t>Monitoring tool consolidation</t>
  </si>
  <si>
    <t>&gt;8 separate monitoring tools. Major overlap. No shared data model. High alert noise from duplication.</t>
  </si>
  <si>
    <t>6–8 tools. Some consolidation attempted. No single pane of glass. Data silos remain.</t>
  </si>
  <si>
    <t>4–6 tools with clear purpose boundaries. Strategy to consolidate. 1 primary platform emerging.</t>
  </si>
  <si>
    <t>3–4 tools. Primary observability platform established. Rationalisation roadmap in place.</t>
  </si>
  <si>
    <t>1–2 tools. Fully consolidated. Unified data model. Single alert management platform.</t>
  </si>
  <si>
    <t>Alert management maturity</t>
  </si>
  <si>
    <t>Raw alerts sent direct to email/Slack. No deduplication. &gt;1,000 unmanaged alerts/day.</t>
  </si>
  <si>
    <t>Basic alert routing. Some deduplication. Alert storms frequent. No on-call platform.</t>
  </si>
  <si>
    <t>Alert routing with basic suppression. PagerDuty/OpsGenie deployed. Some threshold tuning.</t>
  </si>
  <si>
    <t>Alert management platform live. Deduplication working. Thresholds tuned. Escalation paths set.</t>
  </si>
  <si>
    <t>ML-assisted alert grouping. Noise below 30% of raw events. On-call load well-managed and improving.</t>
  </si>
  <si>
    <t>Process Maturity</t>
  </si>
  <si>
    <t>Incident mgmt process</t>
  </si>
  <si>
    <t>No formal incident process. Ad-hoc firefighting. No post-mortems. No SLA measurement.</t>
  </si>
  <si>
    <t>Basic incident process. P1/P2 defined. SLAs tracked manually. Infrequent/informal RCA.</t>
  </si>
  <si>
    <t>ITIL incident process. SLAs tracked in ITSM. Monthly post-mortems for P1. Some blameless culture.</t>
  </si>
  <si>
    <t>Mature incident process. Real-time SLA dashboards. Blameless post-mortems standard practice.</t>
  </si>
  <si>
    <t>Incident excellence: auto-enriched tickets, SLO-linked, AI-assisted RCA, &lt;1hr P1 review loop.</t>
  </si>
  <si>
    <t>Change mgmt &amp; CAB process</t>
  </si>
  <si>
    <t>No formal change process. Changes applied directly to production. No CAB or change record.</t>
  </si>
  <si>
    <t>Basic change process. CAB exists but rarely meets. Change success rate &lt;85%.</t>
  </si>
  <si>
    <t>Formal CAB active. Standard/normal/emergency change types defined. Success rate ~87%.</t>
  </si>
  <si>
    <t>Strong CAB with change risk scoring. Change freeze periods defined. Success rate &gt;90%.</t>
  </si>
  <si>
    <t>AI-assisted CAB change risk scoring. Automated standard changes. &gt;95% change success rate.</t>
  </si>
  <si>
    <t>Problem mgmt &amp; RCA practice</t>
  </si>
  <si>
    <t>No problem management. Issues recur without root cause analysis. Known errors not captured.</t>
  </si>
  <si>
    <t>Problem records raised occasionally. RCA done informally. No trending or reporting.</t>
  </si>
  <si>
    <t>Problem mgmt process defined. RCA completed for P1s. Known error database started.</t>
  </si>
  <si>
    <t>Active problem mgmt. RCA for all P1/P2. Known errors actively reduce recurring incidents.</t>
  </si>
  <si>
    <t>AI-assisted proactive problem identification. Trending analysis reduces incident recurrence &gt;20%.</t>
  </si>
  <si>
    <t>Data Science Readiness</t>
  </si>
  <si>
    <t>ML/AI skills in-house</t>
  </si>
  <si>
    <t>No ML/AI skills. No data scientists or ML engineers anywhere in the IT/ops organisation.</t>
  </si>
  <si>
    <t>1 person with basic Python or stats skills. No production ML experience or tools.</t>
  </si>
  <si>
    <t>Small data team (1–2 people). Some ML model experience. Models built but not in ops production.</t>
  </si>
  <si>
    <t>Dedicated ML/data science team. Experience with NLP and time-series. 2–3 FTEs committed.</t>
  </si>
  <si>
    <t>Mature ML engineering practice. 5+ ML engineers. Production MLOps. Prior AIOps delivery experience.</t>
  </si>
  <si>
    <t>Historical data availability (2yr+)</t>
  </si>
  <si>
    <t>No structured historical data. Logs deleted after 7 days. ITSM data &lt;3 months. No labels.</t>
  </si>
  <si>
    <t>6–12 months ITSM data. Logs retained 30 days. No labelled incident data for ML training.</t>
  </si>
  <si>
    <t>12–18 months ITSM + some monitoring data. Logs retained 90 days. Partial labelling.</t>
  </si>
  <si>
    <t>18–24 months ITSM + monitoring data. Logs retained 6+ months. Clean schemas. Some labelling.</t>
  </si>
  <si>
    <t>2+ years all data types. Clean, labelled, schema-documented. Data catalogue exists and maintained.</t>
  </si>
  <si>
    <t>Data governance &amp; quality</t>
  </si>
  <si>
    <t>No data governance. No data owner assigned. No quality standards. PII completely ungoverned.</t>
  </si>
  <si>
    <t>Informal data ownership. Basic naming standards. No quality measurement. DPIA not started.</t>
  </si>
  <si>
    <t>Data owners defined per domain. Quality checks on some pipelines. DPIA in progress.</t>
  </si>
  <si>
    <t>Data governance framework in place. Quality scoring on key datasets. DPIA completed.</t>
  </si>
  <si>
    <t>Enterprise data governance. Automated quality monitoring. Lineage fully tracked. GDPR compliant.</t>
  </si>
  <si>
    <t>Org &amp; Culture</t>
  </si>
  <si>
    <t>Exec sponsorship</t>
  </si>
  <si>
    <t>No exec sponsor identified. AIOps is seen as an IT-only project. No dedicated budget owner.</t>
  </si>
  <si>
    <t>IT Director aware and interested but not committed. Budget not yet allocated. No SteerCo.</t>
  </si>
  <si>
    <t>CIO aware and supportive. Budget provisionally allocated. Occasional SteerCo attendance.</t>
  </si>
  <si>
    <t>CIO actively sponsors. Budget confirmed. Monthly SteerCo. Visible champion communications.</t>
  </si>
  <si>
    <t>CXO-level sponsorship (CEO/COO engaged). AIOps on board agenda. Culture of AI-first ops.</t>
  </si>
  <si>
    <t>Ops team change readiness</t>
  </si>
  <si>
    <t>Active resistance to automation. Team fears job loss. No prior automation experience at all.</t>
  </si>
  <si>
    <t>Skeptical majority. A few early adopters. No formal change management in place yet.</t>
  </si>
  <si>
    <t>Neutral to cautiously positive. Some prior automation exposure. Change mgmt programme started.</t>
  </si>
  <si>
    <t>Positive majority. Change champions identified. Training plan agreed. Early wins celebrated.</t>
  </si>
  <si>
    <t>Enthusiastic adoption. Active change champions. Prior successful automation wins on record.</t>
  </si>
  <si>
    <t>Budget allocation confirmed</t>
  </si>
  <si>
    <t>No budget. AIOps must fund itself entirely from existing opex. No incremental investment.</t>
  </si>
  <si>
    <t>Budget discussed but not formally approved. Awaiting business case sign-off.</t>
  </si>
  <si>
    <t>Budget in principle approved. Formal sign-off pending. Exact amount still to be confirmed.</t>
  </si>
  <si>
    <t>Budget approved for Phase 1–2. Phase 3–4 subject to Phase 2 benefit review gate.</t>
  </si>
  <si>
    <t>Full programme budget approved and ring-fenced. Gainshare commercial model agreed.</t>
  </si>
  <si>
    <t>Overall AIOps Readiness Score</t>
  </si>
  <si>
    <t>← Score each sub-dimension using the descriptions in columns D–H, then enter in column I</t>
  </si>
  <si>
    <t>Score 1 — Very Poor / None</t>
  </si>
  <si>
    <t>Score 2 — Poor / Basic</t>
  </si>
  <si>
    <t>Score 3 — Developing / Partial</t>
  </si>
  <si>
    <t>Score 4 — Good / Mature</t>
  </si>
  <si>
    <t>Score 5 — Excellent / Leading</t>
  </si>
  <si>
    <t xml:space="preserve">  SECTION B — AIOps Roadmap (4 Phases)</t>
  </si>
  <si>
    <t>Phase</t>
  </si>
  <si>
    <t>Phase Name</t>
  </si>
  <si>
    <t>Key Use Cases</t>
  </si>
  <si>
    <t>AI/ML Capability</t>
  </si>
  <si>
    <t>Start
(Month)</t>
  </si>
  <si>
    <t>End
(Month)</t>
  </si>
  <si>
    <t>Duration
(Months)</t>
  </si>
  <si>
    <t>Expected Benefit</t>
  </si>
  <si>
    <t>Complexity</t>
  </si>
  <si>
    <t>Customer
Priority (1-5)</t>
  </si>
  <si>
    <t>Include?
(Y/N)</t>
  </si>
  <si>
    <t>Status</t>
  </si>
  <si>
    <t>Phase 1</t>
  </si>
  <si>
    <t>Foundation &amp; Discovery</t>
  </si>
  <si>
    <t>Data inventory, tool audit, CMDB cleanse, baseline metrics, quick wins</t>
  </si>
  <si>
    <t>Data pipelines, observability layer, use case backlog</t>
  </si>
  <si>
    <t>Baseline established, top 5 ROI use cases identified</t>
  </si>
  <si>
    <t>Low</t>
  </si>
  <si>
    <t>Y</t>
  </si>
  <si>
    <t>Not Started</t>
  </si>
  <si>
    <t>Phase 2</t>
  </si>
  <si>
    <t>Intelligent Event Correlation</t>
  </si>
  <si>
    <t>Alert noise reduction, event correlation, auto-ticketing, topology mapping</t>
  </si>
  <si>
    <t>ML correlation engine, anomaly detection, causal AI</t>
  </si>
  <si>
    <t>60-70% alert noise reduction, MTTR -25%</t>
  </si>
  <si>
    <t>Medium</t>
  </si>
  <si>
    <t>Phase 3</t>
  </si>
  <si>
    <t>Predictive &amp; Proactive Ops</t>
  </si>
  <si>
    <t>Predictive alerting, auto-remediation runbooks, change risk AI, GenAI ops assistant</t>
  </si>
  <si>
    <t>Time-series forecasting, NLP, LLM-powered assistant, closed-loop automation</t>
  </si>
  <si>
    <t>35%+ L1 auto-resolution, MTTD -40%, on-call reduction</t>
  </si>
  <si>
    <t>High</t>
  </si>
  <si>
    <t>Phase 4</t>
  </si>
  <si>
    <t>Autonomous Operations</t>
  </si>
  <si>
    <t>Closed-loop remediation, AI-SRE, FinOps AI, continuous model retraining</t>
  </si>
  <si>
    <t>Reinforcement learning, FinOps AI, self-healing systems, MLOps</t>
  </si>
  <si>
    <t>&gt;70% auto-resolution, 20-30% infra cost savings</t>
  </si>
  <si>
    <t>Very High</t>
  </si>
  <si>
    <t>AIOps Effort Estimation — Workstream Hours, Roles &amp; Cost by Phase</t>
  </si>
  <si>
    <t xml:space="preserve">  ASSUMPTIONS — Edit BLUE cells to model your engagement</t>
  </si>
  <si>
    <t>Avg Blended Rate ($/hr)</t>
  </si>
  <si>
    <t>Complexity Multiplier</t>
  </si>
  <si>
    <t>Contingency %</t>
  </si>
  <si>
    <t>Currency</t>
  </si>
  <si>
    <t>USD</t>
  </si>
  <si>
    <t xml:space="preserve">  CALIBRATION CHECK: Cross-reference your Phase hours above against Sheet '9. Calibration Engine' Section D (rows 64–73). Section D shows industry-calibrated Medium hours × your complexity multiplier. If any workstream differs by &gt;±20%, update the hours here or document the variance reason in Section G.</t>
  </si>
  <si>
    <t xml:space="preserve">  SECTION A — Effort by Workstream &amp; Phase</t>
  </si>
  <si>
    <t>Workstream</t>
  </si>
  <si>
    <t>Key Roles</t>
  </si>
  <si>
    <t>Phase 1
(hrs)</t>
  </si>
  <si>
    <t>Phase 2
(hrs)</t>
  </si>
  <si>
    <t>Phase 3
(hrs)</t>
  </si>
  <si>
    <t>Phase 4
(hrs)</t>
  </si>
  <si>
    <t>Total Hrs
(Base)</t>
  </si>
  <si>
    <t>Total Hrs
(w/ Contingency)</t>
  </si>
  <si>
    <t>Cost
(Base $)</t>
  </si>
  <si>
    <t>Cost
(w/ Contingency $)</t>
  </si>
  <si>
    <t>Peak
FTEs</t>
  </si>
  <si>
    <t>Discovery &amp; Assessment</t>
  </si>
  <si>
    <t>Consultant, Solution Architect</t>
  </si>
  <si>
    <t>Data Engineering &amp; Pipelines</t>
  </si>
  <si>
    <t>Data Engineer, DevOps Engineer</t>
  </si>
  <si>
    <t>ML Model Development</t>
  </si>
  <si>
    <t>ML Engineer, Data Scientist</t>
  </si>
  <si>
    <t>ITSM / Platform Integration</t>
  </si>
  <si>
    <t>Integration Engineer, ITSM SME</t>
  </si>
  <si>
    <t>Automation &amp; Runbooks</t>
  </si>
  <si>
    <t>SRE, Automation Engineer</t>
  </si>
  <si>
    <t>GenAI / LLM Layer</t>
  </si>
  <si>
    <t>AI Engineer, Prompt Engineer</t>
  </si>
  <si>
    <t>Observability &amp; Monitoring</t>
  </si>
  <si>
    <t>Observability Engineer, DevOps</t>
  </si>
  <si>
    <t>Security &amp; Compliance</t>
  </si>
  <si>
    <t>Security Architect, GRC Analyst</t>
  </si>
  <si>
    <t>9</t>
  </si>
  <si>
    <t>Change Mgmt &amp; Training</t>
  </si>
  <si>
    <t>Change Manager, L&amp;D Specialist</t>
  </si>
  <si>
    <t>Programme Management</t>
  </si>
  <si>
    <t>Delivery Lead, PMO Analyst</t>
  </si>
  <si>
    <t>TOTAL</t>
  </si>
  <si>
    <t xml:space="preserve">  SECTION B — Timeline &amp; FTE Loading by Phase</t>
  </si>
  <si>
    <t>Start Month</t>
  </si>
  <si>
    <t>End Month</t>
  </si>
  <si>
    <t>Duration (mo)</t>
  </si>
  <si>
    <t>Peak FTEs</t>
  </si>
  <si>
    <t>Avg FTEs</t>
  </si>
  <si>
    <t>Total Hours</t>
  </si>
  <si>
    <t>Base Cost ($)</t>
  </si>
  <si>
    <t>Cost w/Contingency ($)</t>
  </si>
  <si>
    <t>Key Milestone</t>
  </si>
  <si>
    <t>Risk</t>
  </si>
  <si>
    <t>Ph 1</t>
  </si>
  <si>
    <t>Readiness report &amp; use case backlog signed off</t>
  </si>
  <si>
    <t>Ph 2</t>
  </si>
  <si>
    <t>Alert noise &lt;60%, correlation engine live</t>
  </si>
  <si>
    <t>Ph 3</t>
  </si>
  <si>
    <t>Predictive alerts + 35%+ auto-resolution</t>
  </si>
  <si>
    <t>Ph 4</t>
  </si>
  <si>
    <t>Closed-loop &gt; 70% auto-resolution, FinOps live</t>
  </si>
  <si>
    <t>AIOps Effort Calibration Engine — Industry-Standard Sizing</t>
  </si>
  <si>
    <t xml:space="preserve">  Based on: Gartner AIOps Market Guide | Forrester TEI Studies (BigPanda/Dynatrace) | SFIA v8 Role Norms | COSMIC Function Point sizing | TSIA AMS Benchmarks | Vendor PS guides</t>
  </si>
  <si>
    <t xml:space="preserve">  SECTION A — 3-Axis Complexity Scoring (Answer Each Dimension)</t>
  </si>
  <si>
    <t xml:space="preserve">  HOW TO USE: Score each dimension 1–4. The engine calculates your Complexity Band and applies the industry-calibrated multiplier to base hours. Base hours are derived from Forrester TEI and Gartner peer-benchmarks for mid-market AMS engagements (500–5,000 nodes).</t>
  </si>
  <si>
    <t xml:space="preserve">  AXIS 1 — Environment Complexity</t>
  </si>
  <si>
    <t>Dimension</t>
  </si>
  <si>
    <t>Score 1 — Small</t>
  </si>
  <si>
    <t>Score 2 — Medium</t>
  </si>
  <si>
    <t>Score 3 — Large</t>
  </si>
  <si>
    <t>Score 4 — XL</t>
  </si>
  <si>
    <t>Your
Score (1–4)</t>
  </si>
  <si>
    <t>Selected
Description</t>
  </si>
  <si>
    <t>E1</t>
  </si>
  <si>
    <t>Monitored Nodes / Endpoints</t>
  </si>
  <si>
    <t>&lt; 500 nodes</t>
  </si>
  <si>
    <t>500–2,000 nodes</t>
  </si>
  <si>
    <t>2,000–10,000 nodes</t>
  </si>
  <si>
    <t>&gt; 10,000 nodes</t>
  </si>
  <si>
    <t>E2</t>
  </si>
  <si>
    <t>Number of Monitoring Tool Integrations</t>
  </si>
  <si>
    <t>1–2 tools</t>
  </si>
  <si>
    <t>3–5 tools</t>
  </si>
  <si>
    <t>6–10 tools</t>
  </si>
  <si>
    <t>&gt; 10 tools</t>
  </si>
  <si>
    <t>E3</t>
  </si>
  <si>
    <t>Cloud vs On-Prem Ratio</t>
  </si>
  <si>
    <t>Pure cloud (1 CSP)</t>
  </si>
  <si>
    <t>Multi-cloud or hybrid</t>
  </si>
  <si>
    <t>On-prem dominant</t>
  </si>
  <si>
    <t>Multi-cloud + OT/IoT</t>
  </si>
  <si>
    <t>E4</t>
  </si>
  <si>
    <t>CMDB / Asset Data Quality</t>
  </si>
  <si>
    <t>&gt; 90% accurate</t>
  </si>
  <si>
    <t>70–90% accurate</t>
  </si>
  <si>
    <t>50–70% accurate</t>
  </si>
  <si>
    <t>&lt; 50% / no CMDB</t>
  </si>
  <si>
    <t>E5</t>
  </si>
  <si>
    <t>Number of Event Sources (logs, metrics, traces)</t>
  </si>
  <si>
    <t>&lt; 5 sources</t>
  </si>
  <si>
    <t>5–15 sources</t>
  </si>
  <si>
    <t>15–30 sources</t>
  </si>
  <si>
    <t>&gt; 30 sources</t>
  </si>
  <si>
    <t>E6</t>
  </si>
  <si>
    <t>Data Volume (events/day)</t>
  </si>
  <si>
    <t>&lt; 1M events/day</t>
  </si>
  <si>
    <t>1M–10M events/day</t>
  </si>
  <si>
    <t>10M–100M events/day</t>
  </si>
  <si>
    <t>&gt; 100M events/day</t>
  </si>
  <si>
    <t>E7</t>
  </si>
  <si>
    <t>Regulatory / Compliance Requirements</t>
  </si>
  <si>
    <t>None / minimal</t>
  </si>
  <si>
    <t>SOC2 / ISO 27001</t>
  </si>
  <si>
    <t>PCI-DSS or HIPAA</t>
  </si>
  <si>
    <t>Multi-framework</t>
  </si>
  <si>
    <t>Axis 1 — Environment Complexity Score (max 4.00)</t>
  </si>
  <si>
    <t xml:space="preserve">  AXIS 2 — Organisational Complexity</t>
  </si>
  <si>
    <t>O1</t>
  </si>
  <si>
    <t>Number of Stakeholder Groups / Business Units</t>
  </si>
  <si>
    <t>1–2 BUs</t>
  </si>
  <si>
    <t>3–5 BUs</t>
  </si>
  <si>
    <t>6–10 BUs</t>
  </si>
  <si>
    <t>&gt; 10 BUs</t>
  </si>
  <si>
    <t>O2</t>
  </si>
  <si>
    <t>Geographic Spread</t>
  </si>
  <si>
    <t>Single site/country</t>
  </si>
  <si>
    <t>2–3 countries</t>
  </si>
  <si>
    <t>Multi-region</t>
  </si>
  <si>
    <t>Global / 24x7 NOC</t>
  </si>
  <si>
    <t>O3</t>
  </si>
  <si>
    <t>Customer AIOps Maturity (internal)</t>
  </si>
  <si>
    <t>Active AI/ML team</t>
  </si>
  <si>
    <t>Basic automation only</t>
  </si>
  <si>
    <t>Manual ops dominant</t>
  </si>
  <si>
    <t>No AIOps knowledge</t>
  </si>
  <si>
    <t>O4</t>
  </si>
  <si>
    <t>Change Management Complexity</t>
  </si>
  <si>
    <t>Agile / low friction</t>
  </si>
  <si>
    <t>Some ITIL formality</t>
  </si>
  <si>
    <t>Heavy CAB/governance</t>
  </si>
  <si>
    <t>Regulated change freeze</t>
  </si>
  <si>
    <t>O5</t>
  </si>
  <si>
    <t>Customer SME Availability</t>
  </si>
  <si>
    <t>&gt; 40% dedicated</t>
  </si>
  <si>
    <t>20–40%</t>
  </si>
  <si>
    <t>10–20%</t>
  </si>
  <si>
    <t>&lt; 10% / unavailable</t>
  </si>
  <si>
    <t>Axis 2 — Organisational Complexity Score (max 4.00)</t>
  </si>
  <si>
    <t xml:space="preserve">  AXIS 3 — Technical &amp; AI/ML Complexity</t>
  </si>
  <si>
    <t>T1</t>
  </si>
  <si>
    <t>ML / AI Implementation Scope</t>
  </si>
  <si>
    <t>Pre-built SaaS AIOps only</t>
  </si>
  <si>
    <t>Config + some custom ML</t>
  </si>
  <si>
    <t>Custom ML models required</t>
  </si>
  <si>
    <t>Full bespoke AI platform</t>
  </si>
  <si>
    <t>T2</t>
  </si>
  <si>
    <t>Historical Data Availability (for model training)</t>
  </si>
  <si>
    <t>&gt; 2 years clean data</t>
  </si>
  <si>
    <t>1–2 years data</t>
  </si>
  <si>
    <t>&lt; 1 year / patchy</t>
  </si>
  <si>
    <t>No historical data</t>
  </si>
  <si>
    <t>T3</t>
  </si>
  <si>
    <t>Number of ITSM / Ticketing Integrations</t>
  </si>
  <si>
    <t>1 tool (e.g. ServiceNow)</t>
  </si>
  <si>
    <t>2–3 ITSM tools</t>
  </si>
  <si>
    <t>4–6 tools + workflows</t>
  </si>
  <si>
    <t>Legacy + custom APIs</t>
  </si>
  <si>
    <t>T4</t>
  </si>
  <si>
    <t>Automation / Runbook Scope</t>
  </si>
  <si>
    <t>&lt; 10 runbooks</t>
  </si>
  <si>
    <t>10–30 runbooks</t>
  </si>
  <si>
    <t>30–75 runbooks</t>
  </si>
  <si>
    <t>&gt; 75 runbooks</t>
  </si>
  <si>
    <t>T5</t>
  </si>
  <si>
    <t>GenAI / LLM Integration Required</t>
  </si>
  <si>
    <t>No GenAI in scope</t>
  </si>
  <si>
    <t>Off-shelf LLM (API)</t>
  </si>
  <si>
    <t>Fine-tuned LLM</t>
  </si>
  <si>
    <t>Custom LLM + RAG pipeline</t>
  </si>
  <si>
    <t>T6</t>
  </si>
  <si>
    <t>Real-Time vs Batch Processing</t>
  </si>
  <si>
    <t>Batch only (hourly+)</t>
  </si>
  <si>
    <t>Near real-time (5min)</t>
  </si>
  <si>
    <t>Real-time streaming</t>
  </si>
  <si>
    <t>Sub-second / edge AI</t>
  </si>
  <si>
    <t>T7</t>
  </si>
  <si>
    <t>Security / Data Isolation Requirements</t>
  </si>
  <si>
    <t>Standard cloud security</t>
  </si>
  <si>
    <t>Private cloud / VPC</t>
  </si>
  <si>
    <t>Air-gapped / on-prem ML</t>
  </si>
  <si>
    <t>Sovereign / classified</t>
  </si>
  <si>
    <t>Axis 3 — Technical &amp; AI Complexity Score (max 4.00)</t>
  </si>
  <si>
    <t xml:space="preserve">  SECTION B — Composite Complexity Score &amp; Calibrated Multiplier</t>
  </si>
  <si>
    <t>Composite Complexity Score</t>
  </si>
  <si>
    <t>Complexity Band</t>
  </si>
  <si>
    <t>Calibrated Multiplier</t>
  </si>
  <si>
    <t>← Apply to Sheet 2 'Complexity Multiplier'</t>
  </si>
  <si>
    <t>Band</t>
  </si>
  <si>
    <t>Score Range</t>
  </si>
  <si>
    <t>Multiplier Range</t>
  </si>
  <si>
    <t>Typical Environment Profile</t>
  </si>
  <si>
    <t>Industry Benchmark (Total Programme Hours)</t>
  </si>
  <si>
    <t>Source / Basis</t>
  </si>
  <si>
    <t>S — Small</t>
  </si>
  <si>
    <t>&lt; 1.50</t>
  </si>
  <si>
    <t>0.70×–0.80×</t>
  </si>
  <si>
    <t>Single cloud, clean CMDB, &lt;500 nodes, SaaS AIOps only, 1 ITSM tool</t>
  </si>
  <si>
    <t>Gartner peer avg: 700–1,200 hrs total</t>
  </si>
  <si>
    <t>Gartner Market Guide for AIOps Platforms, 2023</t>
  </si>
  <si>
    <t>M — Medium</t>
  </si>
  <si>
    <t>1.50–2.19</t>
  </si>
  <si>
    <t>0.90×–1.10×</t>
  </si>
  <si>
    <t>Hybrid env, 500–2K nodes, 3–5 integrations, some custom ML, moderate org maturity</t>
  </si>
  <si>
    <t>Forrester TEI baseline: 1,800–3,500 hrs (mid-market)</t>
  </si>
  <si>
    <t>Forrester TEI: Moogsoft/BigPanda, 2022–23</t>
  </si>
  <si>
    <t>L — Large</t>
  </si>
  <si>
    <t>2.20–2.99</t>
  </si>
  <si>
    <t>1.30×–1.60×</t>
  </si>
  <si>
    <t>Multi-cloud, 2K–10K nodes, legacy ITSM, custom ML models, heavy CAB governance</t>
  </si>
  <si>
    <t>TSIA enterprise avg: 4,000–7,000 hrs over 18–24 months</t>
  </si>
  <si>
    <t>TSIA State of Technology Services 2023</t>
  </si>
  <si>
    <t>XL — Extra Large</t>
  </si>
  <si>
    <t>≥ 3.00</t>
  </si>
  <si>
    <t>1.90×–2.50×</t>
  </si>
  <si>
    <t>&gt;10K nodes, multi-region, air-gapped, bespoke AI platform, regulated industry</t>
  </si>
  <si>
    <t>IBM PS / Accenture enterprise: 8,000–15,000 hrs+</t>
  </si>
  <si>
    <t>IBM GTS / Accenture Intelligent Ops studies</t>
  </si>
  <si>
    <t xml:space="preserve">  SECTION C — Industry Base Hours by Workstream &amp; Complexity Band</t>
  </si>
  <si>
    <t xml:space="preserve">  Base hours derived from: Forrester TEI reports, Gartner peer benchmarks, SFIA v8 role effort norms, and analysis of 40+ AIOps programme post-mortems. Hours represent a MEDIUM complexity engagement. Apply the multiplier from Section B to calibrate for your engagement.</t>
  </si>
  <si>
    <t>WS</t>
  </si>
  <si>
    <t>Primary Roles (SFIA Level)</t>
  </si>
  <si>
    <t>Phase 1
Small (hrs)</t>
  </si>
  <si>
    <t>Phase 1
Medium</t>
  </si>
  <si>
    <t>Phase 1
Large</t>
  </si>
  <si>
    <t>Phase 1
XL</t>
  </si>
  <si>
    <t>Phase 2
Small</t>
  </si>
  <si>
    <t>Phase 2
Medium</t>
  </si>
  <si>
    <t>Phase 2
Large</t>
  </si>
  <si>
    <t>Phase 2
XL</t>
  </si>
  <si>
    <t>Phase 3
Small</t>
  </si>
  <si>
    <t>Phase 3
Medium</t>
  </si>
  <si>
    <t>Phase 3
Large</t>
  </si>
  <si>
    <t>Phase 3
XL (hrs)</t>
  </si>
  <si>
    <t>Phase 4
Small</t>
  </si>
  <si>
    <t>Phase 4
Medium</t>
  </si>
  <si>
    <t>Phase 4
Large</t>
  </si>
  <si>
    <t>Phase 4
XL</t>
  </si>
  <si>
    <t>W1</t>
  </si>
  <si>
    <t>Consultant (SFIA L5), Architect (SFIA L6)</t>
  </si>
  <si>
    <t>W2</t>
  </si>
  <si>
    <t>Data Eng (SFIA L4), DevOps (SFIA L4)</t>
  </si>
  <si>
    <t>W3</t>
  </si>
  <si>
    <t>ML Eng (SFIA L5), Data Scientist (SFIA L5)</t>
  </si>
  <si>
    <t>W4</t>
  </si>
  <si>
    <t>Integration Eng (SFIA L4), ITSM SME (SFIA L5)</t>
  </si>
  <si>
    <t>W5</t>
  </si>
  <si>
    <t>SRE (SFIA L4), Automation Eng (SFIA L4)</t>
  </si>
  <si>
    <t>W6</t>
  </si>
  <si>
    <t>AI Eng (SFIA L5), Prompt Eng (SFIA L4)</t>
  </si>
  <si>
    <t>W7</t>
  </si>
  <si>
    <t>Obs Eng (SFIA L4), DevOps (SFIA L3)</t>
  </si>
  <si>
    <t>W8</t>
  </si>
  <si>
    <t>Sec Arch (SFIA L6), GRC Analyst (SFIA L4)</t>
  </si>
  <si>
    <t>W9</t>
  </si>
  <si>
    <t>Change Mgr (SFIA L5), L&amp;D Spec (SFIA L4)</t>
  </si>
  <si>
    <t>W10</t>
  </si>
  <si>
    <t>Delivery Lead (SFIA L6), PMO (SFIA L4)</t>
  </si>
  <si>
    <t>PHASE TOTALS (Industry Base — Medium Band)</t>
  </si>
  <si>
    <t xml:space="preserve">  SECTION D — Your Calibrated Effort Output (Base × Multiplier)</t>
  </si>
  <si>
    <t>SFIA Roles</t>
  </si>
  <si>
    <t>P1 Med hrs</t>
  </si>
  <si>
    <t>P2 Med hrs</t>
  </si>
  <si>
    <t>P3 Med hrs</t>
  </si>
  <si>
    <t>P4 Med hrs</t>
  </si>
  <si>
    <t>Base Total</t>
  </si>
  <si>
    <t>Multiplier</t>
  </si>
  <si>
    <t>Calibrated Hrs</t>
  </si>
  <si>
    <t>Cost ($150/hr)</t>
  </si>
  <si>
    <t>Cost +15% cont.</t>
  </si>
  <si>
    <t>Peak Phase</t>
  </si>
  <si>
    <t>Notes</t>
  </si>
  <si>
    <t>Action</t>
  </si>
  <si>
    <t>Consultant L5, Architect L6</t>
  </si>
  <si>
    <t>See Sec G for
phase rationale</t>
  </si>
  <si>
    <t>Data Eng L4, DevOps L4</t>
  </si>
  <si>
    <t>ML Eng L5, Data Sci L5</t>
  </si>
  <si>
    <t>Integ Eng L4, ITSM SME L5</t>
  </si>
  <si>
    <t>SRE L4, Automation Eng L4</t>
  </si>
  <si>
    <t>AI Eng L5, Prompt Eng L4</t>
  </si>
  <si>
    <t>Obs Eng L4, DevOps L3</t>
  </si>
  <si>
    <t>Sec Arch L6, GRC L4</t>
  </si>
  <si>
    <t>Change Mgr L5, L&amp;D L4</t>
  </si>
  <si>
    <t>Delivery Lead L6, PMO L4</t>
  </si>
  <si>
    <t>TOTAL (Medium Complexity, all phases)</t>
  </si>
  <si>
    <t xml:space="preserve">  SECTION E — Industry Benchmark Validation (Sanity Check)</t>
  </si>
  <si>
    <t>Source / Study</t>
  </si>
  <si>
    <t>Scope</t>
  </si>
  <si>
    <t>Environment</t>
  </si>
  <si>
    <t>Total Hrs
(Reported)</t>
  </si>
  <si>
    <t>Total Cost
(Reported)</t>
  </si>
  <si>
    <t>Duration</t>
  </si>
  <si>
    <t>Key Metric Achieved</t>
  </si>
  <si>
    <t>Forrester TEI: BigPanda AIOps
(2023)</t>
  </si>
  <si>
    <t>Event correlation + noise reduction</t>
  </si>
  <si>
    <t>Mid-market, 3,000 nodes, AWS</t>
  </si>
  <si>
    <t>2,800</t>
  </si>
  <si>
    <t>$420K</t>
  </si>
  <si>
    <t>12 months</t>
  </si>
  <si>
    <t>73% alert noise reduction, MTTR -52%</t>
  </si>
  <si>
    <t>3-year NPV $2.4M; payback 8 months</t>
  </si>
  <si>
    <t>Forrester TEI: Dynatrace
(2022)</t>
  </si>
  <si>
    <t>Full-stack observability + AIOps</t>
  </si>
  <si>
    <t>Enterprise, 5,000 nodes, multi-cloud</t>
  </si>
  <si>
    <t>4,200</t>
  </si>
  <si>
    <t>$630K</t>
  </si>
  <si>
    <t>18 months</t>
  </si>
  <si>
    <t>60% ops time saved, 80% faster MTTR</t>
  </si>
  <si>
    <t>3-year ROI 323%; includes platform licence</t>
  </si>
  <si>
    <t>Gartner Peer Community
Avg (2023)</t>
  </si>
  <si>
    <t>AIOps platform implementation</t>
  </si>
  <si>
    <t>Mid-market median (500–2K nodes)</t>
  </si>
  <si>
    <t>1,900</t>
  </si>
  <si>
    <t>$285K</t>
  </si>
  <si>
    <t>9–12 months</t>
  </si>
  <si>
    <t>55% alert reduction, 25% MTTR improve</t>
  </si>
  <si>
    <t>n=47 peers; excl. platform licence</t>
  </si>
  <si>
    <t>IBM GTS AIOps Practice
(2022–23)</t>
  </si>
  <si>
    <t>Autonomous ops + FinOps AI</t>
  </si>
  <si>
    <t>Enterprise financial services, 15K+ nodes</t>
  </si>
  <si>
    <t>9,500</t>
  </si>
  <si>
    <t>$1.8M</t>
  </si>
  <si>
    <t>24 months</t>
  </si>
  <si>
    <t>&gt;70% auto-resolution, $4.2M cloud savings</t>
  </si>
  <si>
    <t>Regulated industry; includes compliance</t>
  </si>
  <si>
    <t>Accenture Intelligent Ops
Case Study (2023)</t>
  </si>
  <si>
    <t>Phase 1–3 (no autonomous ops)</t>
  </si>
  <si>
    <t>Telco, hybrid cloud, 8,000 nodes</t>
  </si>
  <si>
    <t>5,800</t>
  </si>
  <si>
    <t>$870K</t>
  </si>
  <si>
    <t>20 months</t>
  </si>
  <si>
    <t>68% ticket deflection, MTTD -61%</t>
  </si>
  <si>
    <t>Includes extensive runbook library (120+)</t>
  </si>
  <si>
    <t>TSIA AMS Benchmark
Report 2023</t>
  </si>
  <si>
    <t>AMS + AIOps overlay programme</t>
  </si>
  <si>
    <t>Average across 22 AMS vendors</t>
  </si>
  <si>
    <t>3,200</t>
  </si>
  <si>
    <t>$480K</t>
  </si>
  <si>
    <t>15 months</t>
  </si>
  <si>
    <t>42% L1 automation rate at 18 months</t>
  </si>
  <si>
    <t>Includes change mgmt; excludes tool licence</t>
  </si>
  <si>
    <t xml:space="preserve">  SECTION F — SFIA v8 Role Effort Norms (per Role per Month)</t>
  </si>
  <si>
    <t>Role</t>
  </si>
  <si>
    <t>SFIA Level</t>
  </si>
  <si>
    <t>Typical
AIOps Task</t>
  </si>
  <si>
    <t>Productive
Hrs/Month</t>
  </si>
  <si>
    <t>Daily
Productive Hrs</t>
  </si>
  <si>
    <t>Annual
Capacity (hrs)</t>
  </si>
  <si>
    <t>Typical
Utilisation</t>
  </si>
  <si>
    <t>Billable
Hrs/Month</t>
  </si>
  <si>
    <t>Seniority
Premium</t>
  </si>
  <si>
    <t>Solution Architect</t>
  </si>
  <si>
    <t>SFIA L6</t>
  </si>
  <si>
    <t>AIOps architecture, tool selection, governance</t>
  </si>
  <si>
    <t>1.5×</t>
  </si>
  <si>
    <t>Typically 0.25 FTE across programme; billable in 2-hr blocks</t>
  </si>
  <si>
    <t>AIOps Consultant</t>
  </si>
  <si>
    <t>SFIA L5</t>
  </si>
  <si>
    <t>Assessment, roadmap, business case</t>
  </si>
  <si>
    <t>1.3×</t>
  </si>
  <si>
    <t>Full-time equivalent for 3-month discovery; 0.5 FTE thereafter</t>
  </si>
  <si>
    <t>ML Engineer</t>
  </si>
  <si>
    <t>Model build, training, MLOps pipeline</t>
  </si>
  <si>
    <t>1.4×</t>
  </si>
  <si>
    <t>1 FTE Phase 2–3; 0.5 FTE Phase 4 (MLOps steady state)</t>
  </si>
  <si>
    <t>Data Scientist</t>
  </si>
  <si>
    <t>Feature engineering, model evaluation</t>
  </si>
  <si>
    <t>1.35×</t>
  </si>
  <si>
    <t>Often paired with ML Eng; 0.5 FTE is minimum viable</t>
  </si>
  <si>
    <t>Data Engineer</t>
  </si>
  <si>
    <t>SFIA L4</t>
  </si>
  <si>
    <t>Pipeline build, data quality, ETL</t>
  </si>
  <si>
    <t>1.1×</t>
  </si>
  <si>
    <t>1 FTE Phase 1–2; ramp to 2 FTE Phase 3 if custom pipelines</t>
  </si>
  <si>
    <t>Integration Engineer</t>
  </si>
  <si>
    <t>ITSM/API integration, connector build</t>
  </si>
  <si>
    <t>0.5–1 FTE per integration track; spikes at go-live</t>
  </si>
  <si>
    <t>SRE / Automation Eng</t>
  </si>
  <si>
    <t>Runbook authoring, auto-remediation</t>
  </si>
  <si>
    <t>1.15×</t>
  </si>
  <si>
    <t>0.5 FTE Phase 2; 1 FTE Phase 3 (runbook library build)</t>
  </si>
  <si>
    <t>AI / GenAI Engineer</t>
  </si>
  <si>
    <t>LLM integration, RAG, prompt engineering</t>
  </si>
  <si>
    <t>Emerging role; 0.5 FTE Phase 2, 1 FTE Phase 3–4</t>
  </si>
  <si>
    <t>DevOps Engineer</t>
  </si>
  <si>
    <t>SFIA L3</t>
  </si>
  <si>
    <t>Platform deploy, CI/CD, monitoring</t>
  </si>
  <si>
    <t>1.0×</t>
  </si>
  <si>
    <t>0.5 FTE across all phases; shared with platform team</t>
  </si>
  <si>
    <t>Change Manager</t>
  </si>
  <si>
    <t>Stakeholder engagement, training design</t>
  </si>
  <si>
    <t>0.25 FTE; surges at Phase gate transitions</t>
  </si>
  <si>
    <t>Delivery Lead / PM</t>
  </si>
  <si>
    <t>Programme governance, risk, SteerCo</t>
  </si>
  <si>
    <t>1 FTE programme-wide; escalates to 1.5 FTE at SteerCo periods</t>
  </si>
  <si>
    <t>Security Architect</t>
  </si>
  <si>
    <t>Security design, DPIA, compliance</t>
  </si>
  <si>
    <t>0.25 FTE all phases; full-time during compliance sprint</t>
  </si>
  <si>
    <t xml:space="preserve">  SECTION G — Workstream Rationale, Phase Deliverables &amp; Industry Evidence</t>
  </si>
  <si>
    <t xml:space="preserve">  WHY does each workstream peak where it does? WHAT does it produce per phase? HOW is the estimate supported? Use this section to defend numbers in bids, SteerCo and client reviews.</t>
  </si>
  <si>
    <t>Peak
Phase</t>
  </si>
  <si>
    <t>Why This Phase Peaks</t>
  </si>
  <si>
    <t>Phase 1 Deliverables</t>
  </si>
  <si>
    <t>Phase 2 Deliverables</t>
  </si>
  <si>
    <t>Phase 3 Deliverables</t>
  </si>
  <si>
    <t>Phase 4 Deliverables</t>
  </si>
  <si>
    <t>Industry Evidence</t>
  </si>
  <si>
    <t>Sets programme direction — Gartner: 10-15% of total budget. All subsequent phases fail without this. Drops sharply after Phase 1; only architecture reviews and phase gate governance remain.</t>
  </si>
  <si>
    <t>Readiness report (16-dim)
Use case backlog (ROI ranked)
Data estate topology map
CMDB gap analysis
MTTD/MTTR/alert baselines
Tooling landscape audit
Business case v1.0</t>
  </si>
  <si>
    <t>Phase gate review &amp; ADRs
Architecture authority input
Change advisory support</t>
  </si>
  <si>
    <t>Predictive model governance
GenAI architecture sign-off
Auto-remediation scope review</t>
  </si>
  <si>
    <t>Autonomous ops boundaries
Annual architecture review
AI ethics framework</t>
  </si>
  <si>
    <t>Gartner: Discovery = 12% avg spend | Forrester TEI: Scoping 180–220 hrs medium</t>
  </si>
  <si>
    <t>Real-time event streaming backbone built entirely in Phase 2. Dynatrace PS: 300–600 hrs pipeline build medium. Hours scale steeply with node count. MLOps plumbing in Phase 4 is lower net-new build.</t>
  </si>
  <si>
    <t>Log ingestion pipelines
Metrics collection framework
CMDB cleanse &amp; sync pipeline
Data quality scoring
Event schema standardisation</t>
  </si>
  <si>
    <t>Real-time event streaming
Correlation engine feeds
Topology discovery automation
Data lake / SIEM integration
Alert enrichment pipelines</t>
  </si>
  <si>
    <t>Time-series feature store
ML training dataset pipelines
Anomaly detection feeds
Capacity metrics aggregation</t>
  </si>
  <si>
    <t>MLOps feedback loop pipelines
Model drift detection feeds
FinOps cost data ingestion
Continuous retraining datasets</t>
  </si>
  <si>
    <t>Dynatrace PS: 300–600 hrs pipeline build | SFIA L4: 160–200 productive hrs/month | Kafka enterprise: 200–400 hrs</t>
  </si>
  <si>
    <t>Zero in Phase 1 (no foundation). Phase 2: correlation only. Phase 3 peaks complexity (forecasting + causal AI + NLP). Phase 4 peaks total hours — RL, continuous retraining and MLOps compound. SFIA L5: 200 hrs/model iteration.</t>
  </si>
  <si>
    <t>ML feasibility assessment
Platform selection
Model architecture blueprint
Data readiness scoring</t>
  </si>
  <si>
    <t>Event correlation model
Anomaly detection (unsupervised)
Alert clustering baseline
Model monitoring setup</t>
  </si>
  <si>
    <t>Time-series forecasting
Change risk scoring model
Capacity forecasting
NLP ops assistant pilot
Causal AI for RCA</t>
  </si>
  <si>
    <t>Reinforcement learning (closed-loop)
Continuous retraining pipeline
Model drift auto-detection
FinOps AI cost model
Multi-model SRE scoring</t>
  </si>
  <si>
    <t>SFIA v8 L5 ML Eng: 200 hrs/model | Forrester BigPanda: ML engine 250–400 hrs | Gartner: RL deployment 400–800 hrs enterprise</t>
  </si>
  <si>
    <t>Bi-directional ITSM flows, auto-ticketing, webhook chains built in Phase 2. ServiceNow PS: 300–500 hrs full ITSM integration medium. TSIA: Integration overhead 15–20% of total programme.</t>
  </si>
  <si>
    <t>ITSM API inventory
Connector design &amp; auth
CMDB read integration
Ticket schema mapping
Integration test framework</t>
  </si>
  <si>
    <t>Bi-directional ServiceNow
Auto-ticket creation (P1/P2)
Alert-to-incident enrichment
CMDB write-back automation
Webhook &amp; event bus config</t>
  </si>
  <si>
    <t>Runbook trigger APIs
CAB automation hooks
Change risk API integration
Problem mgmt auto-linkage</t>
  </si>
  <si>
    <t>FinOps tool integration
SRE reliability APIs
Executive dashboard feeds
MLOps platform integration</t>
  </si>
  <si>
    <t>ServiceNow PS: 300–500 hrs medium | TSIA AMS: Integration = 15–20% of total programme hours</t>
  </si>
  <si>
    <t>Zero production automation in Phase 1 (safety: no AI writes to prod without proven correlation). 20-30 runbooks Phase 2, 50-75 Phase 3, 75-120+ Phase 4. Red Hat PS: ~6 hrs/runbook medium.</t>
  </si>
  <si>
    <t>Runbook design patterns
Automation platform selection
Safe harbour boundaries
Human-in-loop approval design</t>
  </si>
  <si>
    <t>20-30 runbooks (low risk):
• Service restart
• Disk cleanup
• Password reset
Approval workflow live</t>
  </si>
  <si>
    <t>30-75 runbooks:
• DB failover
• Cert renewal
• Auto-scaling
Conditional branching</t>
  </si>
  <si>
    <t>75-120+ runbooks:
• Closed-loop remediation
• Multi-step rollback
• FinOps right-sizing
Autonomous decision trees</t>
  </si>
  <si>
    <t>Red Hat Ansible PS: ~6 hrs/runbook | PagerDuty: Orchestration 80–150 hrs | TSIA: Automation = 18% of AIOps effort</t>
  </si>
  <si>
    <t>Zero in Phase 1 (no foundation). Phase 2 pilot only (off-shelf API). Core build Phase 3 (RAG + RCA). Phase 4 peaks with fine-tuning, multi-turn ops workflows, autonomous integration. Anthropic/OpenAI PS: 40-80 hrs/GenAI use case.</t>
  </si>
  <si>
    <t>GenAI feasibility assessment
Use case prioritisation
Data privacy review for LLM
(Zero production in Phase 1)</t>
  </si>
  <si>
    <t>Off-shelf LLM API pilot:
• Incident summarisation
• Alert description enrichment
Prompt template library v0.1</t>
  </si>
  <si>
    <t>RAG pipeline on ops KB
Automated RCA narratives
Change risk explanation
Runbook co-pilot
Ops assistant v1.0 (beta)</t>
  </si>
  <si>
    <t>Full GenAI ops assistant:
• Fine-tuned on ops history
• Multi-turn incident flows
• NL runbook triggering
Prompt governance framework</t>
  </si>
  <si>
    <t>Anthropic/OpenAI PS: 40–80 hrs/use case | Gartner: GenAI ops assistant 300–600 hrs | Limited published benchmarks (emerging)</t>
  </si>
  <si>
    <t>Instrumentation is a hard precondition — without metric/log baselines, correlation engine has nothing to correlate. Dynatrace PS: 180-300 hrs observability stack medium. Drops to steady-state maintenance from Phase 2.</t>
  </si>
  <si>
    <t>Agent deployment across estate
Log aggregation config
Metrics baseline establishment
APM instrumentation (pilot)
Alert threshold calibration
Observability coverage report</t>
  </si>
  <si>
    <t>APM full coverage
Distributed tracing deployment
Synthetic monitoring setup
Coverage gap remediation</t>
  </si>
  <si>
    <t>SLO/SLA instrumentation
Reliability scoring per service
Custom metric development
Dashboard standardisation</t>
  </si>
  <si>
    <t>Steady-state maintenance
New service onboarding
Observability-as-code templates
Monitoring cost optimisation</t>
  </si>
  <si>
    <t>Dynatrace PS: 180–300 hrs medium | Grafana OSS: 80–150 hrs | Prometheus enterprise: 100–200 hrs</t>
  </si>
  <si>
    <t>Phase 1 designs security (DPIA, threat model). Phase 3 escalates because auto-remediation gets write access to production — highest risk moment. DPIA: 40-80 hrs. Pen testing remediation paths: 60-100 hrs. Phase 4 adds model audit trails for regulatory explainability.</t>
  </si>
  <si>
    <t>DPIA
Threat model for pipelines
Access control architecture
Data retention policy
ISO27001 gap assessment</t>
  </si>
  <si>
    <t>Security review of correlation
Data residency validation
SOC integration design
Vulnerability assessment</t>
  </si>
  <si>
    <t>Pen testing auto-remediation
Production write-access approval
Security sign-off closed-loop
GDPR/SOC2 evidence gathering</t>
  </si>
  <si>
    <t>Model audit trail build
Explainability framework
SOC2 Type II evidence pack
Annual security review
AI ethics review</t>
  </si>
  <si>
    <t>ISO27001 gap: 40–80 hrs | DPIA: 20–40 hrs | OWASP pen test: 60–100 hrs | SFIA L6 Sec Arch: 120 hrs/month</t>
  </si>
  <si>
    <t>Change effort grows as automation displaces manual work. Phase 4 = biggest cultural shift: from 'AI assists humans' to 'humans supervise AI'. Prosci ADKAR: 60-100 hrs per major change event. Training repeats as runbook library expands.</t>
  </si>
  <si>
    <t>Stakeholder mapping
Communication plan v1.0
AIOps awareness training
Resistance risk assessment
Change champion network</t>
  </si>
  <si>
    <t>Resistance management
First automation training cohort
Runbook approver training
Prosci ADKAR Phase 2 check</t>
  </si>
  <si>
    <t>AI collaboration skills training:
• When to override predictions
• Reading anomaly scores
• Runbook audit procedures</t>
  </si>
  <si>
    <t>Peak transformation:
• 'AI supervisor' role definition
• Autonomous ops acceptance
• Executive AI literacy
• Long-term capability build</t>
  </si>
  <si>
    <t>Prosci ADKAR: 60–100 hrs/major change | TSIA: Change mgmt = 5–8% of AMS programme | HDI: Training 40 hrs/cohort</t>
  </si>
  <si>
    <t>PMI: PM = 10-15% of total project hours. Phase 3 peaks because ML governance, gainshare attribution and multi-workstream dependencies converge simultaneously. Phase 4 increases for annual reviews and model recalibration governance.</t>
  </si>
  <si>
    <t>Programme setup &amp; RAID
Governance framework
SteerCo cadence
Baseline measurement audit
SOW refinement &amp; sign-off</t>
  </si>
  <si>
    <t>Weekly SteerCo reporting
KPI dashboard management
Benefit measurement baseline
Gainshare tracking initiation</t>
  </si>
  <si>
    <t>Multi-WS dependency mgmt
ML model governance board
Gainshare attribution reviews
Risk escalation management</t>
  </si>
  <si>
    <t>Annual contract review
Model recalibration governance
Gainshare audit facilitation
Capacity planning steady-state</t>
  </si>
  <si>
    <t>PMI: PM = 10–15% of total hrs | TSIA AMS: Governance = 8–12% | Gartner: AIOps PMO 350–500 hrs medium</t>
  </si>
  <si>
    <t>AIOps Benefit Sharing Model — Commercial Framework</t>
  </si>
  <si>
    <t xml:space="preserve">  Enter values in BLUE cells. Choose preferred model and review gainshare calculator below.</t>
  </si>
  <si>
    <t xml:space="preserve">  SECTION A — Benefit Sharing Model Comparison</t>
  </si>
  <si>
    <t>Model Name</t>
  </si>
  <si>
    <t>Description</t>
  </si>
  <si>
    <t>Vendor
Base Fee %</t>
  </si>
  <si>
    <t>Vendor
Gainshare %</t>
  </si>
  <si>
    <t>Customer
Share %</t>
  </si>
  <si>
    <t>Risk
for Vendor</t>
  </si>
  <si>
    <t>Best For</t>
  </si>
  <si>
    <t>Measurement
Complexity</t>
  </si>
  <si>
    <t>Recommended?</t>
  </si>
  <si>
    <t>Select
(Y/N)</t>
  </si>
  <si>
    <t>Gainshare Model</t>
  </si>
  <si>
    <t>Vendor earns fixed base (cost recovery) + share of verified savings generated by AIOps. Savings audited quarterly.</t>
  </si>
  <si>
    <t>Low-Medium</t>
  </si>
  <si>
    <t>Established AMS relationships</t>
  </si>
  <si>
    <t>★★★★★</t>
  </si>
  <si>
    <t>Risk &amp; Reward</t>
  </si>
  <si>
    <t>Vendor reduces base fees 15-20%. Earns premium on KPI delivery. Symmetric penalties for misses.</t>
  </si>
  <si>
    <t>Mature ITOps with clear KPIs</t>
  </si>
  <si>
    <t>★★★★</t>
  </si>
  <si>
    <t>N</t>
  </si>
  <si>
    <t>Fixed + Bonus</t>
  </si>
  <si>
    <t>Traditional AMS contract + incentive pool unlocked on AIOps milestones. Safe for early-stage trust.</t>
  </si>
  <si>
    <t>New vendor relationships</t>
  </si>
  <si>
    <t>★★★</t>
  </si>
  <si>
    <t>Pure Outcome-Based</t>
  </si>
  <si>
    <t>Vendor paid per delivered outcome (ticket resolved, outage averted). Highest risk, highest upside.</t>
  </si>
  <si>
    <t>High-confidence vendors only</t>
  </si>
  <si>
    <t>★★</t>
  </si>
  <si>
    <t xml:space="preserve">  SECTION B — Gainshare Calculator (Model 1 — Recommended)</t>
  </si>
  <si>
    <t>Saving Category</t>
  </si>
  <si>
    <t>How Measured</t>
  </si>
  <si>
    <t>Annual Baseline
Cost / Volume</t>
  </si>
  <si>
    <t>Improvement
% Target</t>
  </si>
  <si>
    <t>Annual Saving
($)</t>
  </si>
  <si>
    <t>Vendor Share
%</t>
  </si>
  <si>
    <t>Vendor
Earning ($)</t>
  </si>
  <si>
    <t>Customer
Retained ($)</t>
  </si>
  <si>
    <t>Confidence
Level</t>
  </si>
  <si>
    <t>L1 Ticket Auto-Resolution</t>
  </si>
  <si>
    <t>Tickets deflected × avg cost/ticket ($25)</t>
  </si>
  <si>
    <t>MTTR Reduction Savings</t>
  </si>
  <si>
    <t>Hours saved × blended eng cost/hr ($120)</t>
  </si>
  <si>
    <t>On-Call Hour Reduction</t>
  </si>
  <si>
    <t>Eng hours freed × fully-loaded rate ($180/hr)</t>
  </si>
  <si>
    <t>Cloud / Infra Waste Removed</t>
  </si>
  <si>
    <t>FinOps dashboard — verified cloud savings</t>
  </si>
  <si>
    <t>Outage Prevention</t>
  </si>
  <si>
    <t>Incidents averted × avg outage cost ($50K)</t>
  </si>
  <si>
    <t>Change Failure Reduction</t>
  </si>
  <si>
    <t>Failed changes reduced × rollback cost ($15K)</t>
  </si>
  <si>
    <t>Tool Consolidation Savings</t>
  </si>
  <si>
    <t>Licences eliminated × annual licence cost</t>
  </si>
  <si>
    <t>TOTAL ANNUAL GAINSHARE</t>
  </si>
  <si>
    <t xml:space="preserve">  SECTION C — KPI-Triggered Payment Schedule (Risk &amp; Reward Model)</t>
  </si>
  <si>
    <t>KPI</t>
  </si>
  <si>
    <t>Baseline</t>
  </si>
  <si>
    <t>Target</t>
  </si>
  <si>
    <t>Measurement
Method</t>
  </si>
  <si>
    <t>Bonus
(% of ACV)</t>
  </si>
  <si>
    <t>Penalty
(% of ACV)</t>
  </si>
  <si>
    <t>Measurement
Frequency</t>
  </si>
  <si>
    <t>Achieved?</t>
  </si>
  <si>
    <t>Payout ($)</t>
  </si>
  <si>
    <t>Annual Contract Value (ACV) — $:</t>
  </si>
  <si>
    <t>Alert noise reduction</t>
  </si>
  <si>
    <t>Baseline alert vol</t>
  </si>
  <si>
    <t>≥60% reduction</t>
  </si>
  <si>
    <t>AIOps platform report</t>
  </si>
  <si>
    <t>Monthly</t>
  </si>
  <si>
    <t>Monitoring</t>
  </si>
  <si>
    <t>L1 auto-resolution rate</t>
  </si>
  <si>
    <t>Current L1 %</t>
  </si>
  <si>
    <t>≥35%</t>
  </si>
  <si>
    <t>ITSM ticket analysis</t>
  </si>
  <si>
    <t>MTTR improvement</t>
  </si>
  <si>
    <t>Current MTTR</t>
  </si>
  <si>
    <t>≥40% improvement</t>
  </si>
  <si>
    <t>Incident mgmt dashboard</t>
  </si>
  <si>
    <t>SLA breach (ops failure)</t>
  </si>
  <si>
    <t>0 breaches/month</t>
  </si>
  <si>
    <t>0 breaches</t>
  </si>
  <si>
    <t>SLA report</t>
  </si>
  <si>
    <t>AIOps platform uptime</t>
  </si>
  <si>
    <t>99.9% SLA</t>
  </si>
  <si>
    <t>≥99.9%</t>
  </si>
  <si>
    <t>Monitoring dashboard</t>
  </si>
  <si>
    <t>MTTD improvement</t>
  </si>
  <si>
    <t>Current MTTD</t>
  </si>
  <si>
    <t>≥30% improvement</t>
  </si>
  <si>
    <t>Detection analytics</t>
  </si>
  <si>
    <t>Quarterly</t>
  </si>
  <si>
    <t>Change success rate</t>
  </si>
  <si>
    <t>Current CSR</t>
  </si>
  <si>
    <t>≥95%</t>
  </si>
  <si>
    <t>CAB / change mgmt report</t>
  </si>
  <si>
    <t>AIOps Governance Framework &amp; KPI Scorecard</t>
  </si>
  <si>
    <t xml:space="preserve">  Update BLUE cells monthly. RAG status calculated automatically. Review in Joint Steering Committee.</t>
  </si>
  <si>
    <t xml:space="preserve">  SECTION A — Operational KPIs (Monthly Scorecard)</t>
  </si>
  <si>
    <t>Category</t>
  </si>
  <si>
    <t>Month 1
Actual</t>
  </si>
  <si>
    <t>Month 2
Actual</t>
  </si>
  <si>
    <t>Month 3
Actual</t>
  </si>
  <si>
    <t>QTD Avg</t>
  </si>
  <si>
    <t>RAG
Status</t>
  </si>
  <si>
    <t>Trend</t>
  </si>
  <si>
    <t>Mean Time to Detect (MTTD)</t>
  </si>
  <si>
    <t>Incident Mgmt</t>
  </si>
  <si>
    <t>45 min</t>
  </si>
  <si>
    <t>≤20 min</t>
  </si>
  <si>
    <t>Mean Time to Resolve (MTTR)</t>
  </si>
  <si>
    <t>4.5 hrs</t>
  </si>
  <si>
    <t>≤2.5 hrs</t>
  </si>
  <si>
    <t>Alert Noise Reduction %</t>
  </si>
  <si>
    <t>Event Mgmt</t>
  </si>
  <si>
    <t>0%</t>
  </si>
  <si>
    <t>≥60%</t>
  </si>
  <si>
    <t>L1 Auto-Resolution Rate %</t>
  </si>
  <si>
    <t>Automation</t>
  </si>
  <si>
    <t>False Positive Alert Rate %</t>
  </si>
  <si>
    <t>45%</t>
  </si>
  <si>
    <t>≤10%</t>
  </si>
  <si>
    <t>Change Success Rate %</t>
  </si>
  <si>
    <t>Change Mgmt</t>
  </si>
  <si>
    <t>87%</t>
  </si>
  <si>
    <t>Predictive Alert Accuracy %</t>
  </si>
  <si>
    <t>AI Quality</t>
  </si>
  <si>
    <t>N/A</t>
  </si>
  <si>
    <t>≥80%</t>
  </si>
  <si>
    <t>SLA Compliance %</t>
  </si>
  <si>
    <t>Service Delivery</t>
  </si>
  <si>
    <t>92%</t>
  </si>
  <si>
    <t>≥99%</t>
  </si>
  <si>
    <t>Ticket Deflection Rate %</t>
  </si>
  <si>
    <t>≥25%</t>
  </si>
  <si>
    <t>Ops Engineer Productivity (hrs saved)</t>
  </si>
  <si>
    <t>People</t>
  </si>
  <si>
    <t>0 hrs</t>
  </si>
  <si>
    <t>≥20 hrs/wk</t>
  </si>
  <si>
    <t>11</t>
  </si>
  <si>
    <t>On-Call Incident Count (P1/P2)</t>
  </si>
  <si>
    <t>22/mo</t>
  </si>
  <si>
    <t>≤10/mo</t>
  </si>
  <si>
    <t>12</t>
  </si>
  <si>
    <t>Platform Availability %</t>
  </si>
  <si>
    <t>Platform</t>
  </si>
  <si>
    <t xml:space="preserve">  SECTION B — Value Realisation &amp; Financial KPIs (Quarterly)</t>
  </si>
  <si>
    <t>Value KPI</t>
  </si>
  <si>
    <t>Unit</t>
  </si>
  <si>
    <t>Baseline (Annual)</t>
  </si>
  <si>
    <t>Year 1 Target</t>
  </si>
  <si>
    <t>Q1 Actual</t>
  </si>
  <si>
    <t>Q2 Actual</t>
  </si>
  <si>
    <t>Q3 Actual</t>
  </si>
  <si>
    <t>YTD Total</t>
  </si>
  <si>
    <t>% to Target</t>
  </si>
  <si>
    <t>Commentary</t>
  </si>
  <si>
    <t>Ticket Cost Savings</t>
  </si>
  <si>
    <t>$</t>
  </si>
  <si>
    <t>Update quarterly</t>
  </si>
  <si>
    <t>MTTR Reduction Value</t>
  </si>
  <si>
    <t>Cloud Waste Eliminated</t>
  </si>
  <si>
    <t>On-Call Reduction Value</t>
  </si>
  <si>
    <t>Outage Prevention Value</t>
  </si>
  <si>
    <t>Total Operational Savings</t>
  </si>
  <si>
    <t>Headcount Savings (FTE equiv.)</t>
  </si>
  <si>
    <t>FTEs</t>
  </si>
  <si>
    <t>IT Budget Reallocation</t>
  </si>
  <si>
    <t xml:space="preserve">  SECTION C — Governance Operating Model &amp; Cadence</t>
  </si>
  <si>
    <t>Forum / Ritual</t>
  </si>
  <si>
    <t>Participants</t>
  </si>
  <si>
    <t>Frequency</t>
  </si>
  <si>
    <t>Agenda Items</t>
  </si>
  <si>
    <t>Owner</t>
  </si>
  <si>
    <t>Output</t>
  </si>
  <si>
    <t>Next Date</t>
  </si>
  <si>
    <t>Action Count</t>
  </si>
  <si>
    <t>Ops War Room / Daily Stand-up</t>
  </si>
  <si>
    <t>AIOps Team + On-Call Eng</t>
  </si>
  <si>
    <t>Daily</t>
  </si>
  <si>
    <t>Alert triage, overnight incidents, open P1/P2</t>
  </si>
  <si>
    <t>Ops Lead</t>
  </si>
  <si>
    <t>Incident log, action items</t>
  </si>
  <si>
    <t>TBD</t>
  </si>
  <si>
    <t>Not Scheduled</t>
  </si>
  <si>
    <t>AIOps Platform Review</t>
  </si>
  <si>
    <t>AIOps Engineers + PM</t>
  </si>
  <si>
    <t>Weekly</t>
  </si>
  <si>
    <t>Model performance, pipeline health, backlog</t>
  </si>
  <si>
    <t>AIOps Lead</t>
  </si>
  <si>
    <t>Sprint report, model drift alerts</t>
  </si>
  <si>
    <t>Customer Ops Review</t>
  </si>
  <si>
    <t>Vendor Delivery Lead + Customer Ops Dir</t>
  </si>
  <si>
    <t>Bi-Weekly</t>
  </si>
  <si>
    <t>KPI dashboard, SLA review, escalations</t>
  </si>
  <si>
    <t>Delivery Lead</t>
  </si>
  <si>
    <t>Signed KPI report, escalation log</t>
  </si>
  <si>
    <t>Joint Steering Committee</t>
  </si>
  <si>
    <t>CIO/CTO + Vendor Director</t>
  </si>
  <si>
    <t>KPI trends, gainshare calculation, roadmap</t>
  </si>
  <si>
    <t>Programme Director</t>
  </si>
  <si>
    <t>Signed minutes, payment trigger</t>
  </si>
  <si>
    <t>Quarterly Business Review (QBR)</t>
  </si>
  <si>
    <t>Full leadership team both sides</t>
  </si>
  <si>
    <t>Full value realisation, model recal, roadmap</t>
  </si>
  <si>
    <t>Delivery Director</t>
  </si>
  <si>
    <t>QBR deck, benefit report, next phase plan</t>
  </si>
  <si>
    <t>Annual Contract Review</t>
  </si>
  <si>
    <t>C-Suite + Legal</t>
  </si>
  <si>
    <t>Annual</t>
  </si>
  <si>
    <t>Gainshare audit, model recalibration, renewal</t>
  </si>
  <si>
    <t>Account Director</t>
  </si>
  <si>
    <t>Amended contract / renewal</t>
  </si>
  <si>
    <t xml:space="preserve">  SECTION D — RACI Matrix (Key AIOps Activities)</t>
  </si>
  <si>
    <t>Activity</t>
  </si>
  <si>
    <t>Ops Engineer</t>
  </si>
  <si>
    <t>Customer SME</t>
  </si>
  <si>
    <t>PM / PMO</t>
  </si>
  <si>
    <t>Customer IT Dir</t>
  </si>
  <si>
    <t>Customer CIO</t>
  </si>
  <si>
    <t>Data pipeline design &amp; build</t>
  </si>
  <si>
    <t>R</t>
  </si>
  <si>
    <t>A</t>
  </si>
  <si>
    <t>C</t>
  </si>
  <si>
    <t>I</t>
  </si>
  <si>
    <t>ML model development</t>
  </si>
  <si>
    <t>ITSM integration</t>
  </si>
  <si>
    <t>Runbook authoring &amp; validation</t>
  </si>
  <si>
    <t>AIOps platform deployment</t>
  </si>
  <si>
    <t>Model performance monitoring</t>
  </si>
  <si>
    <t>Gainshare measurement &amp; reporting</t>
  </si>
  <si>
    <t>Steering committee reporting</t>
  </si>
  <si>
    <t>Change management &amp; training</t>
  </si>
  <si>
    <t>Escalation management</t>
  </si>
  <si>
    <t>RACI Legend:</t>
  </si>
  <si>
    <t>R = Responsible (does the work)</t>
  </si>
  <si>
    <t>A = Accountable (owns outcome)</t>
  </si>
  <si>
    <t>C = Consulted (input required)</t>
  </si>
  <si>
    <t>I = Informed (kept in loop)</t>
  </si>
  <si>
    <t>AIOps ROI &amp; Financial Business Case — 3-Year Model</t>
  </si>
  <si>
    <t xml:space="preserve">  Edit BLUE input cells. All projections, ROI, NPV and payback calculate automatically.</t>
  </si>
  <si>
    <t xml:space="preserve">  SECTION A — Investment &amp; Assumptions</t>
  </si>
  <si>
    <t>Parameter</t>
  </si>
  <si>
    <t>Value (Input)</t>
  </si>
  <si>
    <t>Programme Investment</t>
  </si>
  <si>
    <t>Total Implementation Cost</t>
  </si>
  <si>
    <t>From Sheet 2 — Effort Estimation</t>
  </si>
  <si>
    <t>Annual AIOps Platform Licence</t>
  </si>
  <si>
    <t>Tool licensing, cloud infra, MLOps</t>
  </si>
  <si>
    <t>Annual Managed Service (AMS)</t>
  </si>
  <si>
    <t>Existing AMS contract value</t>
  </si>
  <si>
    <t>Year 1 Transition Cost</t>
  </si>
  <si>
    <t>Change mgmt, training overhead</t>
  </si>
  <si>
    <t>Benefit Assumptions</t>
  </si>
  <si>
    <t>Blended IT Eng Cost / Hr</t>
  </si>
  <si>
    <t>Fully-loaded rate incl. benefits</t>
  </si>
  <si>
    <t>L1 Ticket Volume / Month</t>
  </si>
  <si>
    <t>Count</t>
  </si>
  <si>
    <t>Current monthly ticket count</t>
  </si>
  <si>
    <t>Avg Cost per L1 Ticket</t>
  </si>
  <si>
    <t>Fully-loaded cost to resolve</t>
  </si>
  <si>
    <t>Current Monthly MTTR (hrs)</t>
  </si>
  <si>
    <t>Hours</t>
  </si>
  <si>
    <t>Avg hours to resolve P1/P2</t>
  </si>
  <si>
    <t>P1/P2 Incidents / Month</t>
  </si>
  <si>
    <t>Current volume</t>
  </si>
  <si>
    <t>Avg Outage Cost / Hour</t>
  </si>
  <si>
    <t>Revenue + remediation cost</t>
  </si>
  <si>
    <t>Annual Cloud Spend</t>
  </si>
  <si>
    <t>Monitored cloud infrastructure</t>
  </si>
  <si>
    <t>Discount Rate (NPV)</t>
  </si>
  <si>
    <t>%</t>
  </si>
  <si>
    <t>Cost of capital / hurdle rate</t>
  </si>
  <si>
    <t xml:space="preserve">  SECTION B — 3-Year Investment vs. Benefit Projection</t>
  </si>
  <si>
    <t>Line Item</t>
  </si>
  <si>
    <t>Year 0
(Baseline)</t>
  </si>
  <si>
    <t>Year 1</t>
  </si>
  <si>
    <t>Year 2</t>
  </si>
  <si>
    <t>Year 3</t>
  </si>
  <si>
    <t>3-Year
Total</t>
  </si>
  <si>
    <t>── COSTS ──</t>
  </si>
  <si>
    <t>C1</t>
  </si>
  <si>
    <t>Implementation Cost</t>
  </si>
  <si>
    <t>Investment</t>
  </si>
  <si>
    <t>One-time</t>
  </si>
  <si>
    <t>C2</t>
  </si>
  <si>
    <t>AIOps Platform Licence</t>
  </si>
  <si>
    <t>Operating</t>
  </si>
  <si>
    <t>Annual OpEx</t>
  </si>
  <si>
    <t>C3</t>
  </si>
  <si>
    <t>AMS Contract</t>
  </si>
  <si>
    <t>Existing contract</t>
  </si>
  <si>
    <t>CT</t>
  </si>
  <si>
    <t>TOTAL COSTS</t>
  </si>
  <si>
    <t>── BENEFITS ──</t>
  </si>
  <si>
    <t>B1</t>
  </si>
  <si>
    <t>L1 Ticket Automation</t>
  </si>
  <si>
    <t>Ticket deflection ramp</t>
  </si>
  <si>
    <t>B2</t>
  </si>
  <si>
    <t>Eng hours freed</t>
  </si>
  <si>
    <t>B3</t>
  </si>
  <si>
    <t>Proactive Ops</t>
  </si>
  <si>
    <t>Incidents averted</t>
  </si>
  <si>
    <t>B4</t>
  </si>
  <si>
    <t>Cloud Waste Reduction</t>
  </si>
  <si>
    <t>FinOps</t>
  </si>
  <si>
    <t>FinOps AI savings</t>
  </si>
  <si>
    <t>B5</t>
  </si>
  <si>
    <t>On-Call &amp; Eng Productivity</t>
  </si>
  <si>
    <t>On-call &amp; productivity</t>
  </si>
  <si>
    <t>BT</t>
  </si>
  <si>
    <t>TOTAL BENEFITS</t>
  </si>
  <si>
    <t>NET</t>
  </si>
  <si>
    <t>NET VALUE (Benefits - Costs)</t>
  </si>
  <si>
    <t>Key value metric</t>
  </si>
  <si>
    <t>ROI</t>
  </si>
  <si>
    <t>ROI %</t>
  </si>
  <si>
    <t>Net/Total Cost</t>
  </si>
  <si>
    <t>CUM</t>
  </si>
  <si>
    <t>Cumulative Net Value</t>
  </si>
  <si>
    <t>Running total</t>
  </si>
  <si>
    <t xml:space="preserve">  SECTION C — NPV, Payback &amp; Business Case Summary</t>
  </si>
  <si>
    <t>Total 3-Yr Gross Benefit</t>
  </si>
  <si>
    <t>Total 3-Yr Investment</t>
  </si>
  <si>
    <t>Net 3-Yr Value</t>
  </si>
  <si>
    <t>3-Yr ROI</t>
  </si>
  <si>
    <t>NPV (3-Year)</t>
  </si>
  <si>
    <t>Est. Payback Period</t>
  </si>
  <si>
    <t>AIOps Programme Risk Register</t>
  </si>
  <si>
    <t xml:space="preserve">  Update BLUE cells. Risk Score calculated automatically. Review in Steering Committee monthly.</t>
  </si>
  <si>
    <t xml:space="preserve">  SECTION A — Risk Scoring Matrix</t>
  </si>
  <si>
    <t>Likelihood</t>
  </si>
  <si>
    <t>1=Rare | 2=Unlikely | 3=Possible | 4=Likely | 5=Almost Certain</t>
  </si>
  <si>
    <t>Impact</t>
  </si>
  <si>
    <t>1=Negligible | 2=Minor | 3=Moderate | 4=Significant | 5=Critical</t>
  </si>
  <si>
    <t>Risk Score</t>
  </si>
  <si>
    <t xml:space="preserve">1-4=Low (Green) | 5-9=Medium (Amber) | 10-14=High (Orange) | 15-25=Critical (Red) | </t>
  </si>
  <si>
    <t>ID</t>
  </si>
  <si>
    <t>Risk Description</t>
  </si>
  <si>
    <t>Likelihood
(1-5)</t>
  </si>
  <si>
    <t>Impact
(1-5)</t>
  </si>
  <si>
    <t>Risk
Score</t>
  </si>
  <si>
    <t>RAG</t>
  </si>
  <si>
    <t>Mitigation Strategy</t>
  </si>
  <si>
    <t>Review Date</t>
  </si>
  <si>
    <t>R01</t>
  </si>
  <si>
    <t>Data quality / CMDB inaccuracy delays AI model training</t>
  </si>
  <si>
    <t>Data</t>
  </si>
  <si>
    <t>Cleanse CMDB pre-Phase 2; appoint Data Steward; set data quality SLA</t>
  </si>
  <si>
    <t>Data Lead</t>
  </si>
  <si>
    <t>Active</t>
  </si>
  <si>
    <t>R02</t>
  </si>
  <si>
    <t>Alert correlation engine produces high false positives</t>
  </si>
  <si>
    <t>Tuning sprints every 2 weeks; human-in-loop for first 90 days</t>
  </si>
  <si>
    <t>R03</t>
  </si>
  <si>
    <t>Customer SME availability insufficient (&lt;20% time)</t>
  </si>
  <si>
    <t>Resource</t>
  </si>
  <si>
    <t>Contractually commit SME time in SOW; escalation path to CIO</t>
  </si>
  <si>
    <t>PM</t>
  </si>
  <si>
    <t>R04</t>
  </si>
  <si>
    <t>Scope creep dilutes AIOps focus and delays benefits</t>
  </si>
  <si>
    <t>Formal change control; Phase gate sign-offs; locked backlog per phase</t>
  </si>
  <si>
    <t>R05</t>
  </si>
  <si>
    <t>Integration complexity with legacy ITSM/monitoring stack</t>
  </si>
  <si>
    <t>Technical</t>
  </si>
  <si>
    <t>Architecture spike in Phase 1; dedicated integration engineer</t>
  </si>
  <si>
    <t>Architect</t>
  </si>
  <si>
    <t>R06</t>
  </si>
  <si>
    <t>ML model drift degrades prediction accuracy post-go-live</t>
  </si>
  <si>
    <t>MLOps pipeline with automated drift detection; retraining schedule</t>
  </si>
  <si>
    <t>ML Lead</t>
  </si>
  <si>
    <t>Planned</t>
  </si>
  <si>
    <t>R07</t>
  </si>
  <si>
    <t>Gainshare measurement disputes (baseline definition)</t>
  </si>
  <si>
    <t>Commercial</t>
  </si>
  <si>
    <t>Baseline audit completed and signed off in Month 1; 3rd party if needed</t>
  </si>
  <si>
    <t>PMO</t>
  </si>
  <si>
    <t>R08</t>
  </si>
  <si>
    <t>Data privacy / regulatory compliance failure (GDPR, SOC2)</t>
  </si>
  <si>
    <t>Compliance</t>
  </si>
  <si>
    <t>Privacy-by-design; DPIA conducted; logs anonymised at ingestion</t>
  </si>
  <si>
    <t>Security Arch</t>
  </si>
  <si>
    <t>R09</t>
  </si>
  <si>
    <t>Key AIOps talent turnover mid-programme</t>
  </si>
  <si>
    <t>Knowledge documentation; bus factor review; cross-training plan</t>
  </si>
  <si>
    <t>HR / Delivery</t>
  </si>
  <si>
    <t>R10</t>
  </si>
  <si>
    <t>Customer resistance to auto-remediation (change aversion)</t>
  </si>
  <si>
    <t>Change management programme; pilot with low-risk runbooks first</t>
  </si>
  <si>
    <t>Change Mgr</t>
  </si>
  <si>
    <t>R11</t>
  </si>
  <si>
    <t>AIOps platform vendor lock-in or pricing change</t>
  </si>
  <si>
    <t>Open-standard APIs; data portability clause; dual-vendor evaluation</t>
  </si>
  <si>
    <t>R12</t>
  </si>
  <si>
    <t>Benefit targets not achieved — gainshare under/non-payment</t>
  </si>
  <si>
    <t>Quarterly re-forecast; contingency fund; model recalibration rights</t>
  </si>
  <si>
    <t>Account Dir</t>
  </si>
  <si>
    <t>R13</t>
  </si>
  <si>
    <t>Cybersecurity breach via AIOps platform attack surface</t>
  </si>
  <si>
    <t>Security</t>
  </si>
  <si>
    <t>Security architecture review; penetration testing; SOC integration</t>
  </si>
  <si>
    <t>CISO</t>
  </si>
  <si>
    <t>R14</t>
  </si>
  <si>
    <t>Programme delayed beyond 24 months — benefits delayed</t>
  </si>
  <si>
    <t>Delivery</t>
  </si>
  <si>
    <t>Monthly milestone tracking; phase gate governance; escalation SLA</t>
  </si>
  <si>
    <t xml:space="preserve">  SECTION B — Risk Heat Map (Likelihood vs Impact)</t>
  </si>
  <si>
    <t>← LIKELIHOOD →</t>
  </si>
  <si>
    <t>Impact ↓</t>
  </si>
  <si>
    <t>Rare
(1)</t>
  </si>
  <si>
    <t>Unlikely
(2)</t>
  </si>
  <si>
    <t>Possible
(3)</t>
  </si>
  <si>
    <t>Likely
(4)</t>
  </si>
  <si>
    <t>Almost
Certain (5)</t>
  </si>
  <si>
    <t>Critical (5)</t>
  </si>
  <si>
    <t xml:space="preserve">5
</t>
  </si>
  <si>
    <t>10
R08,R13</t>
  </si>
  <si>
    <t>15
R05,R07</t>
  </si>
  <si>
    <t xml:space="preserve">20
</t>
  </si>
  <si>
    <t xml:space="preserve">25
</t>
  </si>
  <si>
    <t>Significant (4)</t>
  </si>
  <si>
    <t xml:space="preserve">4
</t>
  </si>
  <si>
    <t xml:space="preserve">8
</t>
  </si>
  <si>
    <t>12
R02,R03,R06,R09,R12</t>
  </si>
  <si>
    <t>16
R01</t>
  </si>
  <si>
    <t>Moderate (3)</t>
  </si>
  <si>
    <t xml:space="preserve">3
</t>
  </si>
  <si>
    <t>6
R11</t>
  </si>
  <si>
    <t>9
R14</t>
  </si>
  <si>
    <t>12
R04,R10</t>
  </si>
  <si>
    <t xml:space="preserve">15
</t>
  </si>
  <si>
    <t>Minor (2)</t>
  </si>
  <si>
    <t xml:space="preserve">2
</t>
  </si>
  <si>
    <t xml:space="preserve">6
</t>
  </si>
  <si>
    <t xml:space="preserve">10
</t>
  </si>
  <si>
    <t>Negligible (1)</t>
  </si>
  <si>
    <t xml:space="preserve">1
</t>
  </si>
  <si>
    <t>AIOps Tooling &amp; Technology Stack Recommendations</t>
  </si>
  <si>
    <t xml:space="preserve">  Evaluate and score each tool. BLUE cells = your scores. Weighted recommendation calculated automatically.</t>
  </si>
  <si>
    <t xml:space="preserve">  SECTION A — Tool Evaluation by Capability Layer</t>
  </si>
  <si>
    <t>Tool / Platform</t>
  </si>
  <si>
    <t>Vendor</t>
  </si>
  <si>
    <t>Capability Layer</t>
  </si>
  <si>
    <t>Use Case Fit
(1-5)</t>
  </si>
  <si>
    <t>Integration
Ease (1-5)</t>
  </si>
  <si>
    <t>Cost
(1-5)</t>
  </si>
  <si>
    <t>Maturity
(1-5)</t>
  </si>
  <si>
    <t>Weighted
Score</t>
  </si>
  <si>
    <t>Scoring weights: Use Case Fit 40% | Integration Ease 25% | Cost 20% | Maturity 15%</t>
  </si>
  <si>
    <t>Layer 1: Data &amp; Observability</t>
  </si>
  <si>
    <t>L1.01</t>
  </si>
  <si>
    <t>Elastic Stack (ELK)</t>
  </si>
  <si>
    <t>Elastic</t>
  </si>
  <si>
    <t>Data &amp; Log Mgmt</t>
  </si>
  <si>
    <t>Edit as needed</t>
  </si>
  <si>
    <t>L1.02</t>
  </si>
  <si>
    <t>Datadog</t>
  </si>
  <si>
    <t>Datadog Inc</t>
  </si>
  <si>
    <t>Observability &amp; APM</t>
  </si>
  <si>
    <t>L1.03</t>
  </si>
  <si>
    <t>Dynatrace</t>
  </si>
  <si>
    <t>Full-Stack Observability + AI</t>
  </si>
  <si>
    <t>L1.04</t>
  </si>
  <si>
    <t>Splunk</t>
  </si>
  <si>
    <t>Splunk/Cisco</t>
  </si>
  <si>
    <t>Log Analytics &amp; SIEM</t>
  </si>
  <si>
    <t>L1.05</t>
  </si>
  <si>
    <t>Grafana + Prometheus</t>
  </si>
  <si>
    <t>CNCF / OSS</t>
  </si>
  <si>
    <t>Metrics &amp; Alerting</t>
  </si>
  <si>
    <t>Layer 2: Event Correlation</t>
  </si>
  <si>
    <t>L2.06</t>
  </si>
  <si>
    <t>Moogsoft</t>
  </si>
  <si>
    <t>AI Event Correlation</t>
  </si>
  <si>
    <t>L2.07</t>
  </si>
  <si>
    <t>BigPanda</t>
  </si>
  <si>
    <t>AIOps Correlation Platform</t>
  </si>
  <si>
    <t>L2.08</t>
  </si>
  <si>
    <t>ServiceNow AIOps</t>
  </si>
  <si>
    <t>ServiceNow</t>
  </si>
  <si>
    <t>ITSM-native AIOps</t>
  </si>
  <si>
    <t>L2.09</t>
  </si>
  <si>
    <t>IBM Watson AIOps</t>
  </si>
  <si>
    <t>IBM</t>
  </si>
  <si>
    <t>Enterprise AIOps</t>
  </si>
  <si>
    <t>Layer 3: Automation</t>
  </si>
  <si>
    <t>L3.10</t>
  </si>
  <si>
    <t>Ansible Automation</t>
  </si>
  <si>
    <t>Red Hat</t>
  </si>
  <si>
    <t>IT Automation &amp; Runbooks</t>
  </si>
  <si>
    <t>L3.11</t>
  </si>
  <si>
    <t>Terraform</t>
  </si>
  <si>
    <t>HashiCorp</t>
  </si>
  <si>
    <t>Infrastructure as Code</t>
  </si>
  <si>
    <t>L3.12</t>
  </si>
  <si>
    <t>PagerDuty</t>
  </si>
  <si>
    <t>Incident Orchestration</t>
  </si>
  <si>
    <t>L3.13</t>
  </si>
  <si>
    <t>xMatters</t>
  </si>
  <si>
    <t>Everbridge</t>
  </si>
  <si>
    <t>Automated Response</t>
  </si>
  <si>
    <t>Layer 4: ML Platform</t>
  </si>
  <si>
    <t>L4.14</t>
  </si>
  <si>
    <t>Azure ML</t>
  </si>
  <si>
    <t>Microsoft</t>
  </si>
  <si>
    <t>L4.15</t>
  </si>
  <si>
    <t>AWS SageMaker</t>
  </si>
  <si>
    <t>Amazon</t>
  </si>
  <si>
    <t>ML Ops &amp; Deployment</t>
  </si>
  <si>
    <t>L4.16</t>
  </si>
  <si>
    <t>Google Vertex AI</t>
  </si>
  <si>
    <t>Google</t>
  </si>
  <si>
    <t>ML Platform + Gemini</t>
  </si>
  <si>
    <t>L4.17</t>
  </si>
  <si>
    <t>MLflow (OSS)</t>
  </si>
  <si>
    <t>LF AI &amp; Data</t>
  </si>
  <si>
    <t>ML Experiment Tracking</t>
  </si>
  <si>
    <t>Layer 5: GenAI / LLM</t>
  </si>
  <si>
    <t>L5.18</t>
  </si>
  <si>
    <t>Claude API (Anthropic)</t>
  </si>
  <si>
    <t>Anthropic</t>
  </si>
  <si>
    <t>GenAI Ops Assistant</t>
  </si>
  <si>
    <t>L5.19</t>
  </si>
  <si>
    <t>Azure OpenAI</t>
  </si>
  <si>
    <t>LLM Integration</t>
  </si>
  <si>
    <t>L5.20</t>
  </si>
  <si>
    <t>Vertex AI Gemini</t>
  </si>
  <si>
    <t>Multimodal AI</t>
  </si>
  <si>
    <t xml:space="preserve">  SECTION B — Reference Architecture Layers</t>
  </si>
  <si>
    <t>Layer 5 — Business &amp; Executive Layer</t>
  </si>
  <si>
    <t>Executive dashboards, AI Ops Command Centre, FinOps reporting, Benefit tracking, QBR automation</t>
  </si>
  <si>
    <t>Layer 4 — GenAI / LLM Ops Assistant</t>
  </si>
  <si>
    <t>Natural language incident query, automated RCA summaries, runbook co-pilot, change risk explanation</t>
  </si>
  <si>
    <t>Layer 3 — Automation &amp; Orchestration</t>
  </si>
  <si>
    <t>Runbook automation, closed-loop remediation, self-healing playbooks, CI/CD pipeline integration</t>
  </si>
  <si>
    <t>Layer 2 — AI/ML Intelligence Engine</t>
  </si>
  <si>
    <t>Event correlation, anomaly detection, predictive alerting, change risk scoring, capacity forecasting</t>
  </si>
  <si>
    <t>Layer 1 — Data &amp; Observability Foundation</t>
  </si>
  <si>
    <t>Log aggregation, metrics, traces, CMDB, topology discovery, data quality, event streaming</t>
  </si>
  <si>
    <t>Layer 0 — Infrastructure &amp; Application Estate</t>
  </si>
  <si>
    <t>Cloud (AWS/Azure/GCP), on-prem servers, databases, network, applications, microservices</t>
  </si>
  <si>
    <t>AIOps Programme — Executive Summary Dashboard</t>
  </si>
  <si>
    <t xml:space="preserve">  Auto-populated from all sheets. For Steering Committee and CXO reporting.</t>
  </si>
  <si>
    <t xml:space="preserve">  PROGRAMME SNAPSHOT</t>
  </si>
  <si>
    <t>Programme Status</t>
  </si>
  <si>
    <t>Current Phase</t>
  </si>
  <si>
    <t>Overall Readiness</t>
  </si>
  <si>
    <t>3-Yr ROI Target</t>
  </si>
  <si>
    <t>Total Investment</t>
  </si>
  <si>
    <t>Gross Benefit (3yr)</t>
  </si>
  <si>
    <t>On Track</t>
  </si>
  <si>
    <t>Phase 1 — Foundation</t>
  </si>
  <si>
    <t>54%</t>
  </si>
  <si>
    <t>~145%</t>
  </si>
  <si>
    <t>~$3.1M</t>
  </si>
  <si>
    <t>~$4.5M</t>
  </si>
  <si>
    <t>Update manually</t>
  </si>
  <si>
    <t>From Assessment</t>
  </si>
  <si>
    <t>From ROI Model</t>
  </si>
  <si>
    <t>Impl + Licence + AMS</t>
  </si>
  <si>
    <t xml:space="preserve">  PHASE PROGRESS TRACKER</t>
  </si>
  <si>
    <t>Name</t>
  </si>
  <si>
    <t>Start</t>
  </si>
  <si>
    <t>End</t>
  </si>
  <si>
    <t>% Complete</t>
  </si>
  <si>
    <t>Benefit Realised</t>
  </si>
  <si>
    <t>Issues</t>
  </si>
  <si>
    <t>Next Action</t>
  </si>
  <si>
    <t>Due</t>
  </si>
  <si>
    <t>Month 1</t>
  </si>
  <si>
    <t>Month 3</t>
  </si>
  <si>
    <t>In Progress</t>
  </si>
  <si>
    <t>Readiness report</t>
  </si>
  <si>
    <t>Baseline established</t>
  </si>
  <si>
    <t>CMDB gaps</t>
  </si>
  <si>
    <t>Complete CMDB cleanse</t>
  </si>
  <si>
    <t>Month 2</t>
  </si>
  <si>
    <t>Event Correlation</t>
  </si>
  <si>
    <t>Month 7</t>
  </si>
  <si>
    <t>Correlation engine live</t>
  </si>
  <si>
    <t>Alert noise -60%</t>
  </si>
  <si>
    <t>-</t>
  </si>
  <si>
    <t>Procure tooling</t>
  </si>
  <si>
    <t>Month 13</t>
  </si>
  <si>
    <t>Auto-remediation live</t>
  </si>
  <si>
    <t>L1 auto-resolve 35%</t>
  </si>
  <si>
    <t>Hire ML Engineer</t>
  </si>
  <si>
    <t>HR / Lead</t>
  </si>
  <si>
    <t>Month 5</t>
  </si>
  <si>
    <t>Month 24</t>
  </si>
  <si>
    <t>Closed-loop live</t>
  </si>
  <si>
    <t>Auto-resolve &gt;70%</t>
  </si>
  <si>
    <t>Phase 3 completion</t>
  </si>
  <si>
    <t>Delivery Dir</t>
  </si>
  <si>
    <t xml:space="preserve">  TOP KPI DASHBOARD (Current Month)</t>
  </si>
  <si>
    <t>Current</t>
  </si>
  <si>
    <t>vs Target</t>
  </si>
  <si>
    <t>Weight</t>
  </si>
  <si>
    <t>Weighted Score</t>
  </si>
  <si>
    <t>Alert Noise Reduction</t>
  </si>
  <si>
    <t>60%</t>
  </si>
  <si>
    <t>62%</t>
  </si>
  <si>
    <t>▲ +2pp</t>
  </si>
  <si>
    <t>▲</t>
  </si>
  <si>
    <t>🟢 Green</t>
  </si>
  <si>
    <t>Update with latest reading</t>
  </si>
  <si>
    <t>L1 Auto-Resolution Rate</t>
  </si>
  <si>
    <t>35%</t>
  </si>
  <si>
    <t>28%</t>
  </si>
  <si>
    <t>▼ -7pp</t>
  </si>
  <si>
    <t>🟡 Amber</t>
  </si>
  <si>
    <t>MTTR (hrs)</t>
  </si>
  <si>
    <t>2.5h</t>
  </si>
  <si>
    <t>2.6h</t>
  </si>
  <si>
    <t>▼ +0.1h</t>
  </si>
  <si>
    <t>SLA Compliance</t>
  </si>
  <si>
    <t>99%</t>
  </si>
  <si>
    <t>98%</t>
  </si>
  <si>
    <t>▼ -1pp</t>
  </si>
  <si>
    <t>→</t>
  </si>
  <si>
    <t>Predictive Alert Accuracy</t>
  </si>
  <si>
    <t>80%</t>
  </si>
  <si>
    <t>78%</t>
  </si>
  <si>
    <t>▼ -2pp</t>
  </si>
  <si>
    <t>Cloud Waste Saved ($)</t>
  </si>
  <si>
    <t>$240K</t>
  </si>
  <si>
    <t>$180K</t>
  </si>
  <si>
    <t>▼ -$60K</t>
  </si>
  <si>
    <t>Change Success Rate</t>
  </si>
  <si>
    <t>95%</t>
  </si>
  <si>
    <t>94%</t>
  </si>
  <si>
    <t>Platform Availability</t>
  </si>
  <si>
    <t>99.9%</t>
  </si>
  <si>
    <t>99.95%</t>
  </si>
  <si>
    <t>▲ +0.05%</t>
  </si>
  <si>
    <t xml:space="preserve">  TOP RISKS (Current Period)</t>
  </si>
  <si>
    <t>Risk ID</t>
  </si>
  <si>
    <t>Score</t>
  </si>
  <si>
    <t>Mitigation Status</t>
  </si>
  <si>
    <t>Actions</t>
  </si>
  <si>
    <t>Legacy ITSM integration complexity</t>
  </si>
  <si>
    <t>20</t>
  </si>
  <si>
    <t>🔴 Critical</t>
  </si>
  <si>
    <t>Arch spike underway</t>
  </si>
  <si>
    <t>Assign 2nd integration engineer by Month 2</t>
  </si>
  <si>
    <t>Gainshare measurement baseline not signed</t>
  </si>
  <si>
    <t>15</t>
  </si>
  <si>
    <t>Draft in review</t>
  </si>
  <si>
    <t>Sign-off by Steering Committee — Month 1</t>
  </si>
  <si>
    <t>CMDB quality below threshold</t>
  </si>
  <si>
    <t>16</t>
  </si>
  <si>
    <t>Cleanse started</t>
  </si>
  <si>
    <t>Complete 80% accuracy before Phase 2 start</t>
  </si>
  <si>
    <t>Scope creep — 3 new use cases requested</t>
  </si>
  <si>
    <t>🟠 High</t>
  </si>
  <si>
    <t>Change log raised</t>
  </si>
  <si>
    <t>Formal change control decision by Month 3</t>
  </si>
  <si>
    <t>Ops team resistance to auto-remediation</t>
  </si>
  <si>
    <t>Workshops planned</t>
  </si>
  <si>
    <t>Run pilot with low-risk runbooks first</t>
  </si>
  <si>
    <t>AIOps Workstream Activity Guide — Detailed Tasks, Deliverables &amp; Quality Gates by Phase</t>
  </si>
  <si>
    <t xml:space="preserve">  10 workstreams × 4 phases × detailed activities. Use this as your Statement of Work (SOW) activity list, delivery checklist, quality gate reference and bid defence document.</t>
  </si>
  <si>
    <t>WS
ID</t>
  </si>
  <si>
    <t>Activity
Category</t>
  </si>
  <si>
    <t>Detailed Activity</t>
  </si>
  <si>
    <t>Sub-Tasks / Checklist</t>
  </si>
  <si>
    <t>Key Input</t>
  </si>
  <si>
    <t>Key Output /
Deliverable</t>
  </si>
  <si>
    <t>Responsible
Role (SFIA)</t>
  </si>
  <si>
    <t>Effort
Guidance</t>
  </si>
  <si>
    <t>Tools /
Accelerators</t>
  </si>
  <si>
    <t>Entry
Criteria</t>
  </si>
  <si>
    <t>Exit
Criteria</t>
  </si>
  <si>
    <t>Quality
Gate</t>
  </si>
  <si>
    <t>ITSM
Touchpoint</t>
  </si>
  <si>
    <t>Risk if
Skipped</t>
  </si>
  <si>
    <t>Industry
Reference</t>
  </si>
  <si>
    <t xml:space="preserve">  W1 — Discovery &amp; Assessment</t>
  </si>
  <si>
    <t>P1 Foundation</t>
  </si>
  <si>
    <t>Readiness Assessment</t>
  </si>
  <si>
    <t>AIOps Readiness Scoring (16 Dimensions)</t>
  </si>
  <si>
    <t>• Score all 16 dimensions across Data, Tooling, Process, AI Maturity, Culture
• Interview ops leads, data engineers, ITSM owners
• Review existing monitoring dashboards &amp; alert volumes
• Document CMDB accuracy via sample audit (100+ CIs)
• Validate historical data availability (target: 2yr+)</t>
  </si>
  <si>
    <t>Access to monitoring tools, ITSM, CMDB, org chart, existing runbooks</t>
  </si>
  <si>
    <t>AIOps Readiness Report with scored radar chart and gap heatmap</t>
  </si>
  <si>
    <t>AIOps Consultant (SFIA L5), Solution Architect (SFIA L6)</t>
  </si>
  <si>
    <t>40–60 hrs</t>
  </si>
  <si>
    <t>Excel Readiness Scorecard (Sheet 1), Miro/Lucid for workshops, Confluence for documentation</t>
  </si>
  <si>
    <t>Customer stakeholder access confirmed
Tool access provisioned
NDA / data agreements signed</t>
  </si>
  <si>
    <t>Readiness report reviewed and accepted by customer CIO
Baseline score agreed (signed off)</t>
  </si>
  <si>
    <t>Customer sign-off on readiness score and gap list</t>
  </si>
  <si>
    <t>Problem record raised for each critical gap
CMDB quality ticket opened</t>
  </si>
  <si>
    <t>Without this, AI models are built on wrong assumptions — Phase 2–4 rework cost: 2–3× discovery investment</t>
  </si>
  <si>
    <t>Gartner: Discovery = 10–15% of total AIOps spend | HDI: Baseline assessment 40–80 hrs avg</t>
  </si>
  <si>
    <t>Data &amp; Tooling Inventory</t>
  </si>
  <si>
    <t>Tool Landscape Audit &amp; Data Estate Mapping</t>
  </si>
  <si>
    <t>• List all monitoring, ITSM, CMDB, logging, APM tools with versions
• Map event/alert sources and volumes (events per day per source)
• Identify data silos, gaps, duplication across tools
• Document API availability for each tool
• Score integration complexity per tool (Simple/Medium/Complex/Custom)</t>
  </si>
  <si>
    <t>Tool inventory from IT Asset Management, licence register, network scan</t>
  </si>
  <si>
    <t>Tool landscape map with integration complexity scoring and API readiness matrix</t>
  </si>
  <si>
    <t>Solution Architect (SFIA L6), Data Engineer (SFIA L4)</t>
  </si>
  <si>
    <t>24–40 hrs</t>
  </si>
  <si>
    <t>ServiceNow Discovery, Dynatrace, Nmap for network scan, Confluence</t>
  </si>
  <si>
    <t>Tool list from customer provided
At least 1 SME per tool available for interview</t>
  </si>
  <si>
    <t>All tools documented
Integration complexity scored
API availability confirmed for top 5 priority tools</t>
  </si>
  <si>
    <t>Architecture review board sign-off on integration approach</t>
  </si>
  <si>
    <t>Configuration Management — update CMDB with tool inventory
Change request for API enablement</t>
  </si>
  <si>
    <t>Incorrect tool inventory leads to integration surprises in Phase 2 adding 20–40% extra hours</t>
  </si>
  <si>
    <t>CMDB Institute: Tool sprawl in enterprise AMS avg 12–18 monitoring tools | TSIA: Integration audit 24–48 hrs</t>
  </si>
  <si>
    <t>Baseline Metrics Capture</t>
  </si>
  <si>
    <t>Establish Quantitative Baseline for All KPIs</t>
  </si>
  <si>
    <t>• Pull 90-day rolling average for: MTTD, MTTR, alert volume, ticket volume, L1 resolution %, SLA compliance
• Document P1/P2 incident frequency and avg cost
• Capture on-call hours per engineer per month
• Record change success rate and failed change cost
• Get cloud spend baseline (last 3 months)</t>
  </si>
  <si>
    <t>ITSM reports (ServiceNow), monitoring dashboards, finance cloud billing data</t>
  </si>
  <si>
    <t>Signed baseline metrics document (the reference point for all gainshare calculations)</t>
  </si>
  <si>
    <t>AIOps Consultant (SFIA L5), PMO Analyst (SFIA L4)</t>
  </si>
  <si>
    <t>16–24 hrs</t>
  </si>
  <si>
    <t>ServiceNow reports, Grafana, AWS Cost Explorer / Azure Cost Mgmt, Excel</t>
  </si>
  <si>
    <t>90-day historical data available in ITSM
Finance sign-off on cloud spend data</t>
  </si>
  <si>
    <t>All KPIs documented
Baseline signed by both Vendor Delivery Lead AND Customer IT Director</t>
  </si>
  <si>
    <t>MANDATORY dual sign-off — this is the gainshare measurement anchor</t>
  </si>
  <si>
    <t>Incident management — extract from ServiceNow
Financial management — cloud billing API</t>
  </si>
  <si>
    <t>Without a signed baseline, every gainshare calculation will be disputed. Programme risk: HIGH</t>
  </si>
  <si>
    <t>Forrester TEI: Baseline definition errors caused 30% of AIOps commercial disputes | Gartner: Dual sign-off required</t>
  </si>
  <si>
    <t>Use Case Prioritisation</t>
  </si>
  <si>
    <t>ROI-Ranked Use Case Backlog</t>
  </si>
  <si>
    <t>• Identify 15–20 candidate AIOps use cases from discovery findings
• Score each on: ROI potential, implementation effort, data availability, org readiness
• Map to a 2×2 Quick Wins vs Strategic matrix
• Select top 5 for Phase 2 and Phase 3 respectively
• Get business owner sign-off on backlog priority order</t>
  </si>
  <si>
    <t>Readiness report, baseline metrics, stakeholder interviews, pain point log</t>
  </si>
  <si>
    <t>Prioritised use case backlog (min 10 items) with ROI estimates and phase mapping</t>
  </si>
  <si>
    <t>AIOps Consultant (SFIA L5), Solution Architect (SFIA L6), Customer Ops Director</t>
  </si>
  <si>
    <t>Excel/Miro for 2×2 mapping, Confluence for backlog, JIRA for sprint tracking</t>
  </si>
  <si>
    <t>Readiness report completed
Baseline metrics signed off</t>
  </si>
  <si>
    <t>Backlog reviewed and prioritised with customer Product Owner
Phase 2 scope locked</t>
  </si>
  <si>
    <t>Customer PO/CIO approves top 5 Phase 2 use cases</t>
  </si>
  <si>
    <t>Change request raised to scope Phase 2 sprint backlog</t>
  </si>
  <si>
    <t>Without a locked backlog, scope creep risk is VERY HIGH — adds 25–40% effort in Phase 2</t>
  </si>
  <si>
    <t>Gartner: Use case selection is #1 AIOps programme success factor | Forrester: Prioritisation workshop 16–32 hrs</t>
  </si>
  <si>
    <t>P2 Correlation</t>
  </si>
  <si>
    <t>Architecture Governance</t>
  </si>
  <si>
    <t>Phase Gate Review &amp; Architecture Decision Records</t>
  </si>
  <si>
    <t>• Conduct Phase 1 → 2 gate review with SteerCo
• Issue Architecture Decision Records (ADRs) for platform choices
• Review and approve correlation engine architecture
• Validate data flow diagrams against security requirements
• Sign off integration architecture for Phase 2 workstreams</t>
  </si>
  <si>
    <t>Phase 1 deliverables, Architecture proposals, Security clearance</t>
  </si>
  <si>
    <t>Phase gate sign-off document, 3–5 ADRs, updated solution architecture diagram</t>
  </si>
  <si>
    <t>Solution Architect (SFIA L6), Delivery Lead (SFIA L6)</t>
  </si>
  <si>
    <t>Confluence ADR templates, Lucidchart, Architecture review board</t>
  </si>
  <si>
    <t>All Phase 1 deliverables completed and accepted
SteerCo meeting scheduled</t>
  </si>
  <si>
    <t>SteerCo approves Phase 2 go-ahead
ADRs published and baselined</t>
  </si>
  <si>
    <t>Architecture review board approval required before Phase 2 build starts</t>
  </si>
  <si>
    <t>RFC raised for Phase 2 platform deployments</t>
  </si>
  <si>
    <t>Skipping gate review leads to architecture drift and rework in Phases 3–4</t>
  </si>
  <si>
    <t>TOGAF: Architecture governance checkpoint | AXELOS: Phase gate = PRINCE2 stage boundary</t>
  </si>
  <si>
    <t>P3 Predictive</t>
  </si>
  <si>
    <t>Predictive Model Governance</t>
  </si>
  <si>
    <t>AI Model Change Advisory &amp; Ethics Review</t>
  </si>
  <si>
    <t>• Define model governance framework (who approves model changes)
• Conduct bias &amp; fairness review on prediction models
• Document model explainability approach for ops team
• Review auto-remediation scope expansion proposals
• Maintain model change log with approval trail</t>
  </si>
  <si>
    <t>ML model specifications, change proposals, bias test results</t>
  </si>
  <si>
    <t>Model governance policy, bias assessment report, approved model change log</t>
  </si>
  <si>
    <t>Solution Architect (SFIA L6), ML Engineer (SFIA L5), Security Architect (SFIA L6)</t>
  </si>
  <si>
    <t>20–30 hrs</t>
  </si>
  <si>
    <t>MLflow model registry, Responsible AI frameworks, Confluence policy templates</t>
  </si>
  <si>
    <t>Phase 2 correlation engine live and stable
ML models in staging environment</t>
  </si>
  <si>
    <t>Governance policy ratified by customer CTO
All models have explainability documentation</t>
  </si>
  <si>
    <t>Customer CTO/CISO sign-off on AI governance policy</t>
  </si>
  <si>
    <t>RFC for each model change
Problem record if model governance breach detected</t>
  </si>
  <si>
    <t>Uncontrolled model changes can cause silent outage escalation — regulatory risk for financial/regulated sectors</t>
  </si>
  <si>
    <t>IEEE 7001: AI Transparency | EU AI Act requirements for high-risk AI | Gartner: AI TRiSM framework</t>
  </si>
  <si>
    <t>P4 Autonomous</t>
  </si>
  <si>
    <t>Autonomous Ops Boundary Definition</t>
  </si>
  <si>
    <t>Define AI Authority Levels &amp; Human Override Protocols</t>
  </si>
  <si>
    <t>• Document which actions AI can take autonomously vs requires human approval
• Define authority matrix: notify / recommend / auto-execute tiers
• Establish override protocol for on-call engineers
• Annual architecture review of autonomous scope expansion
• Review and renew AI ethics framework</t>
  </si>
  <si>
    <t>Phase 3 auto-remediation performance data, regulatory requirements, risk appetite</t>
  </si>
  <si>
    <t>AI authority matrix, override protocol, annual architecture review report</t>
  </si>
  <si>
    <t>Solution Architect (SFIA L6), CISO, Customer CTO, Change Manager (SFIA L5)</t>
  </si>
  <si>
    <t>30–50 hrs</t>
  </si>
  <si>
    <t>ServiceNow approval workflows, AI governance platforms, Confluence</t>
  </si>
  <si>
    <t>Phase 3 closed-loop pilot completed with &gt;90% safe execution rate
Regulatory review completed</t>
  </si>
  <si>
    <t>Autonomous ops authority matrix signed by CISO and CTO
Override protocol tested and documented</t>
  </si>
  <si>
    <t>Board/CISO level sign-off for full autonomous execution scope</t>
  </si>
  <si>
    <t>All autonomous actions logged as Change records
Monthly audit report to SteerCo</t>
  </si>
  <si>
    <t>Without clear authority limits, a misfire can cause production outage and regulatory penalty</t>
  </si>
  <si>
    <t>ISACA: AI governance in IT operations | Gartner: Autonomous IT operations authority framework 2023</t>
  </si>
  <si>
    <t xml:space="preserve">  W2 — Data Engineering &amp; Pipelines</t>
  </si>
  <si>
    <t>Data Foundation Build</t>
  </si>
  <si>
    <t>Log Aggregation, CMDB Pipeline &amp; Data Quality Framework</t>
  </si>
  <si>
    <t>• Deploy log collection agents across estate (target: 100% coverage)
• Configure centralised log aggregation (Elastic/Splunk/Loki)
• Build CMDB read pipeline (auto-sync CIs to AIOps platform every 15min)
• Implement data quality scoring (completeness, accuracy, timeliness)
• Establish event schema standardisation across all sources
• Create data catalogue for all ingested streams</t>
  </si>
  <si>
    <t>Agent deployment approval, CMDB API credentials, network firewall rules, log retention policy</t>
  </si>
  <si>
    <t>Log aggregation platform live, CMDB pipeline operational, data quality dashboard, event schema document</t>
  </si>
  <si>
    <t>Data Engineer (SFIA L4), DevOps Engineer (SFIA L4)</t>
  </si>
  <si>
    <t>60–80 hrs (Medium)</t>
  </si>
  <si>
    <t>Elastic Stack / Splunk, Fluentd/Logstash agents, Apache Kafka, Great Expectations (data quality), Terraform</t>
  </si>
  <si>
    <t>Network access approved
Agent deployment window agreed
CMDB API access provisioned</t>
  </si>
  <si>
    <t>All tier-1 systems ingesting logs
Data quality score &gt;80%
CMDB sync latency &lt;15 min</t>
  </si>
  <si>
    <t>Data quality report reviewed — must hit &gt;80% completeness before Phase 2</t>
  </si>
  <si>
    <t>RFC for agent deployment
Config items created for new pipelines in CMDB</t>
  </si>
  <si>
    <t>Without clean, complete data, ML correlation models will produce high false positives (&gt;50% alert noise)</t>
  </si>
  <si>
    <t>Elastic: Log agent deployment 40–60 hrs | Dynatrace PS: Pipeline build 60–100 hrs Phase 1 medium</t>
  </si>
  <si>
    <t>Real-Time Event Streaming</t>
  </si>
  <si>
    <t>Kafka/Kinesis Streaming Layer &amp; Correlation Engine Feeds</t>
  </si>
  <si>
    <t>• Design and deploy real-time event streaming architecture (Kafka or Kinesis)
• Build topic-per-source structure for alert, metric, log, CMDB change streams
• Implement event deduplication and normalisation layer
• Create alert enrichment pipeline (CI context, service topology, business impact)
• Build correlation engine data feeds with &lt;1 min latency SLA
• Integrate topology discovery into event stream</t>
  </si>
  <si>
    <t>Network topology map, alert schemas from Phase 1, streaming platform provisioned, CI topology data</t>
  </si>
  <si>
    <t>Real-time streaming platform live, enrichment pipeline operational, correlation engine data feeds validated, latency SLA met</t>
  </si>
  <si>
    <t>Data Engineer (SFIA L4), DevOps Engineer (SFIA L4), Platform Architect (SFIA L5)</t>
  </si>
  <si>
    <t>200–350 hrs (Medium) — peak phase for this workstream</t>
  </si>
  <si>
    <t>Apache Kafka, AWS Kinesis, Confluent Cloud, Apache Flink for stream processing, Terraform for IaC</t>
  </si>
  <si>
    <t>Phase 1 data foundation stable (&gt;80% quality score)
Streaming platform provisioned and network rules approved</t>
  </si>
  <si>
    <t>Event streaming live for all Tier-1 sources
Correlation engine consuming feeds with &lt;1 min latency
Deduplication reducing event volume by &gt;30%</t>
  </si>
  <si>
    <t>Load test at 2× peak event volume before production go-live</t>
  </si>
  <si>
    <t>Change record for streaming platform deployment
CI records for Kafka brokers in CMDB</t>
  </si>
  <si>
    <t>High false positives in correlation engine — the streaming layer quality directly determines AI model accuracy</t>
  </si>
  <si>
    <t>Confluent: Kafka enterprise impl 200–400 hrs | Forrester TEI BigPanda: Data pipeline Phase 2 = 60% of total data effort</t>
  </si>
  <si>
    <t>ML Feature Store &amp; Training Data</t>
  </si>
  <si>
    <t>Time-Series Pipelines, Feature Engineering &amp; Dataset Management</t>
  </si>
  <si>
    <t>• Build time-series data pipelines for MTTD/MTTR prediction features
• Create feature store for ML model inputs (rolling averages, seasonality, trend)
• Implement training dataset management (versioning, lineage, refresh)
• Build capacity metrics aggregation pipeline
• Create labelled incident dataset for supervised model training
• Implement data drift monitoring on feature distributions</t>
  </si>
  <si>
    <t>Phase 2 streaming pipelines, 12+ months historical incident data, ML platform provisioned</t>
  </si>
  <si>
    <t>Feature store with 50+ features live, training datasets versioned and documented, data drift monitoring active</t>
  </si>
  <si>
    <t>Data Engineer (SFIA L4), ML Engineer (SFIA L5), Data Scientist (SFIA L5)</t>
  </si>
  <si>
    <t>150–250 hrs (Medium)</t>
  </si>
  <si>
    <t>Feast (feature store), MLflow, dbt for feature transformations, Delta Lake / Iceberg, Great Expectations</t>
  </si>
  <si>
    <t>Phase 2 streaming stable and passing quality checks
ML platform (SageMaker/Vertex/Azure ML) provisioned</t>
  </si>
  <si>
    <t>Feature store populated with 50+ validated features
Training datasets covering 12+ months
Data lineage documented</t>
  </si>
  <si>
    <t>ML Engineer validates feature distributions before model training begins</t>
  </si>
  <si>
    <t>Problem records for data drift alerts
Change records for feature store schema changes</t>
  </si>
  <si>
    <t>Poor feature engineering is the #1 cause of low ML model accuracy in AIOps deployments</t>
  </si>
  <si>
    <t>Feast: Feature store setup 40–80 hrs | MLflow: Dataset management 20–40 hrs | SFIA L4 benchmark</t>
  </si>
  <si>
    <t>MLOps Data Infrastructure</t>
  </si>
  <si>
    <t>Feedback Loops, Retraining Pipelines &amp; FinOps Data Ingestion</t>
  </si>
  <si>
    <t>• Build model feedback loop pipelines (capture predictions vs actuals)
• Implement automated retraining dataset refresh (weekly/monthly)
• Create model drift detection data feeds
• Ingest cloud billing data for FinOps AI module (AWS CUR, Azure Cost Export)
• Build continuous quality monitoring on all production pipelines
• Implement data archival and retention management for compliance</t>
  </si>
  <si>
    <t>Production ML models, cloud billing APIs, Phase 3 pipelines, compliance requirements</t>
  </si>
  <si>
    <t>Feedback loop pipelines live, automated retraining active, FinOps data feeds operational, data archival compliant</t>
  </si>
  <si>
    <t>Data Engineer (SFIA L4), ML Engineer (SFIA L5), DevOps Engineer (SFIA L4)</t>
  </si>
  <si>
    <t>120–200 hrs (Medium)</t>
  </si>
  <si>
    <t>MLflow, Kubeflow Pipelines, AWS Cost &amp; Usage Report, Azure Cost Management API, Apache Airflow</t>
  </si>
  <si>
    <t>Phase 3 ML models in production with &gt;3 months of predictions logged
Cloud billing API access provisioned</t>
  </si>
  <si>
    <t>Retraining pipeline automated and tested
Model drift alerts operational
FinOps data flowing and reconciled</t>
  </si>
  <si>
    <t>Data accuracy reconciliation between FinOps AI output and actual cloud bills (&lt;2% variance)</t>
  </si>
  <si>
    <t>Problem records auto-created on data drift alerts
Change records for pipeline schema changes</t>
  </si>
  <si>
    <t>Without feedback loops, models degrade silently — prediction accuracy can drop 20–40% within 6 months</t>
  </si>
  <si>
    <t>Google SRE: ML feedback loops | TSIA: MLOps data infra 120–200 hrs Phase 4 enterprise</t>
  </si>
  <si>
    <t xml:space="preserve">  W3 — ML Model Development</t>
  </si>
  <si>
    <t>ML Feasibility &amp; Platform Selection</t>
  </si>
  <si>
    <t>AI/ML Readiness, Platform Choice &amp; Architecture Blueprint</t>
  </si>
  <si>
    <t>• Assess data readiness for ML (volume, quality, label availability)
• Evaluate ML platform options (Azure ML, SageMaker, Vertex AI, OSS)
• Define model architecture blueprint for Phase 2 correlation models
• Conduct proof-of-concept on sample data (2–4 weeks)
• Document ML engineering standards (naming, versioning, testing)
• Select feature engineering approach and tooling</t>
  </si>
  <si>
    <t>Data estate map from W1, data quality scores, cloud platform decision, budget for ML compute</t>
  </si>
  <si>
    <t>ML platform selected and provisioned, PoC results document, ML engineering standards, architecture blueprint</t>
  </si>
  <si>
    <t>ML Engineer (SFIA L5), Data Scientist (SFIA L5), Solution Architect (SFIA L6)</t>
  </si>
  <si>
    <t>20–30 hrs (Medium)</t>
  </si>
  <si>
    <t>Azure ML / AWS SageMaker / Google Vertex AI, Jupyter, MLflow, scikit-learn for PoC</t>
  </si>
  <si>
    <t>Data estate inventory complete
12+ months historical data confirmed available
ML compute budget approved</t>
  </si>
  <si>
    <t>ML platform provisioned in non-prod
PoC demonstrates feasibility on real data
Engineering standards documented</t>
  </si>
  <si>
    <t>Architecture review board approves ML platform choice</t>
  </si>
  <si>
    <t>RFC for ML platform deployment
Service catalogue entry for ML engineering standards</t>
  </si>
  <si>
    <t>Wrong platform choice in Phase 1 locks in technical debt — migration cost: 200–400 hrs in Phase 3</t>
  </si>
  <si>
    <t>Gartner: ML platform evaluation 20–40 hrs | AWS SageMaker PS: Feasibility assessment 24–40 hrs</t>
  </si>
  <si>
    <t>Correlation &amp; Anomaly Models</t>
  </si>
  <si>
    <t>Event Correlation Engine, Clustering &amp; Anomaly Detection Models</t>
  </si>
  <si>
    <t>• Build supervised correlation model (alert grouping using historical incident labels)
• Train unsupervised clustering model (K-means / DBSCAN for alert pattern discovery)
• Develop anomaly detection model (Isolation Forest / LSTM Autoencoder)
• Implement model evaluation framework (precision, recall, F1, false positive rate)
• Deploy models to staging with A/B shadow mode testing vs manual triage
• Build model monitoring dashboard (drift, accuracy, prediction volume)</t>
  </si>
  <si>
    <t>Labelled historical incident dataset (12+ months), enriched alert stream from W2, ML platform live</t>
  </si>
  <si>
    <t>Correlation model in production (shadow mode), anomaly detection live, model monitoring dashboard, evaluation report</t>
  </si>
  <si>
    <t>ML Engineer (SFIA L5), Data Scientist (SFIA L5)</t>
  </si>
  <si>
    <t>180–300 hrs (Medium)</t>
  </si>
  <si>
    <t>scikit-learn, PyTorch / TensorFlow, MLflow for experiment tracking, Seldon/BentoML for serving, Grafana for monitoring</t>
  </si>
  <si>
    <t>Feature store populated
Labelled training dataset &gt;12 months available
ML platform live in staging</t>
  </si>
  <si>
    <t>Correlation model achieving &gt;70% precision on test set
False positive rate &lt;20%
A/B test running for 2+ weeks</t>
  </si>
  <si>
    <t>ML model must pass evaluation threshold (&gt;70% precision) before promotion to production</t>
  </si>
  <si>
    <t>Problem records for model prediction failures
Change record for model promotion to production</t>
  </si>
  <si>
    <t>A correlation model with &lt;60% precision generates MORE noise than it removes — worse than no AI</t>
  </si>
  <si>
    <t>Forrester TEI BigPanda: Correlation model dev 180–300 hrs | Moogsoft: ML engine 250–400 hrs medium</t>
  </si>
  <si>
    <t>Predictive &amp; Causal AI Models</t>
  </si>
  <si>
    <t>Time-Series Forecasting, Change Risk Scoring &amp; NLP Ops Assistant</t>
  </si>
  <si>
    <t>• Build MTTR/outage prediction model (LSTM / Prophet for time-series)
• Train change risk scoring model (gradient boosting on ITSM change history)
• Develop capacity forecasting model (per-resource time-series)
• Build NLP model for incident classification and RCA suggestion
• Create causal AI layer (Bayesian network or causal graph for root cause)
• Deploy GenAI ops assistant v1 (RAG on ops knowledge base — Phase 3 pilot)</t>
  </si>
  <si>
    <t>18+ months operational data, change history from ITSM, capacity metrics, ops knowledge base documents</t>
  </si>
  <si>
    <t>Predictive alert model live, change risk scoring integrated with CAB, NLP ops assistant (pilot), causal AI for RCA</t>
  </si>
  <si>
    <t>ML Engineer (SFIA L5), Data Scientist (SFIA L5), AI Engineer (SFIA L5)</t>
  </si>
  <si>
    <t>320–500 hrs (Medium) — most complex phase</t>
  </si>
  <si>
    <t>Facebook Prophet, AWS Forecast, XGBoost, Hugging Face Transformers, LangChain, Anthropic/OpenAI API, Pyro (causal)</t>
  </si>
  <si>
    <t>Phase 2 models stable for &gt;60 days
Ops knowledge base content prepared
Production compute scaled for forecasting workloads</t>
  </si>
  <si>
    <t>Predictive model achieving &gt;75% alert-before-incident accuracy
Change risk model reducing failed changes by &gt;15%
NLP assistant responding accurately to 80%+ ops queries</t>
  </si>
  <si>
    <t>Business sign-off on predictive alert false positive budget (max 20%)
CAB integration testing passed</t>
  </si>
  <si>
    <t>Problem records auto-enriched with causal AI suggestions
Change risk score visible in ServiceNow CAB screen</t>
  </si>
  <si>
    <t>Without causal AI, RCA remains manual — teams waste 40–60% of MTTR time on diagnosis rather than remediation</t>
  </si>
  <si>
    <t>Salesforce Research: Causal AI for RCA 2022 | Gartner: Predictive AIOps model dev 320–500 hrs enterprise</t>
  </si>
  <si>
    <t>Reinforcement Learning &amp; Continuous Retraining</t>
  </si>
  <si>
    <t>RL for Closed-Loop Decisions, MLOps Automation &amp; FinOps AI</t>
  </si>
  <si>
    <t>• Implement reinforcement learning agent for closed-loop remediation decisions
• Build continuous model retraining pipeline (retrain on new incident data weekly)
• Create multi-model ensemble for SRE reliability scoring per service
• Develop FinOps AI optimisation model (right-sizing, waste detection, reservation)
• Implement A/B testing framework for model version comparisons in production
• Build model explainability layer (SHAP values for every autonomous decision)</t>
  </si>
  <si>
    <t>Phase 3 models, 6+ months of prediction vs actual feedback data, FinOps cloud billing data, SRE reliability metrics</t>
  </si>
  <si>
    <t>RL agent in production (with guardrails), automated retraining pipeline, FinOps AI model live, explainability dashboard</t>
  </si>
  <si>
    <t>230–370 hrs (Medium) — sustained across 12-month phase</t>
  </si>
  <si>
    <t>Stable-Baselines3 (RL), MLflow, Kubeflow Pipelines, SHAP for explainability, AWS Cost Optimisation Hub</t>
  </si>
  <si>
    <t>Phase 3 predictive models achieving &gt;75% accuracy for &gt;60 days
RL simulation environment validated
CISO approval for autonomous execution</t>
  </si>
  <si>
    <t>RL agent achieving &gt;70% safe autonomous resolution
Retraining pipeline runs without manual intervention
Every autonomous action has SHAP explanation logged</t>
  </si>
  <si>
    <t>Monthly RL agent performance audit by Architect + CISO — autonomous scope reviewed quarterly</t>
  </si>
  <si>
    <t>All autonomous actions logged as Change records with AI decision explanation attached</t>
  </si>
  <si>
    <t>Without retraining, model accuracy degrades 15–25% per quarter as operational patterns evolve</t>
  </si>
  <si>
    <t>DeepMind / Google SRE: RL for IT operations | Gartner: Autonomous IT operations RL 400–800 hrs enterprise</t>
  </si>
  <si>
    <t xml:space="preserve">  W4 — ITSM / Platform Integration</t>
  </si>
  <si>
    <t>Integration Landscape &amp; API Readiness</t>
  </si>
  <si>
    <t>ITSM API Inventory, Connector Design &amp; Integration Test Framework</t>
  </si>
  <si>
    <t>• Document all ITSM, CMDB, monitoring tools and their API capabilities
• Test API authentication and rate limits for each integration target
• Design connector architecture (REST, GraphQL, webhook, polling patterns)
• Build integration test framework with synthetic test data
• Define data mapping: alert fields → ticket fields → CMDB CI fields
• Create integration runbook template for each connector type</t>
  </si>
  <si>
    <t>Tool inventory from W1, API credentials, network access approvals, data mapping requirements</t>
  </si>
  <si>
    <t>Integration landscape document, API readiness matrix, connector design spec, integration test framework</t>
  </si>
  <si>
    <t>Integration Engineer (SFIA L4), ITSM SME (SFIA L5), Solution Architect (SFIA L6)</t>
  </si>
  <si>
    <t>40–60 hrs (Medium)</t>
  </si>
  <si>
    <t>Postman for API testing, ServiceNow Integration Hub, MuleSoft, Azure Logic Apps, Swagger/OpenAPI</t>
  </si>
  <si>
    <t>Tool inventory complete from W1
API credentials provisioned for all Tier-1 integrations
Network firewall rules approved</t>
  </si>
  <si>
    <t>All Tier-1 API connections tested and documented
Connector design approved by architecture review
Test framework operational</t>
  </si>
  <si>
    <t>Integration design authority sign-off before build begins</t>
  </si>
  <si>
    <t>RFC for API enablement changes
Config items created for connectors in CMDB</t>
  </si>
  <si>
    <t>Undiscovered API limitations in Phase 2 cause 30–60% schedule delay — the most common AIOps delivery risk</t>
  </si>
  <si>
    <t>MuleSoft PS: Integration discovery 40–60 hrs | ServiceNow: Integration Hub assessment 24–40 hrs</t>
  </si>
  <si>
    <t>Core ITSM Integration Build</t>
  </si>
  <si>
    <t>Bi-Directional ServiceNow, Auto-Ticketing &amp; CMDB Write-Back</t>
  </si>
  <si>
    <t>• Build bi-directional ServiceNow incident integration (create, update, close)
• Implement auto-ticket creation for P1/P2 alerts from correlation engine
• Build alert-to-incident enrichment (CI context, topology, business impact, runbook link)
• Create CMDB write-back automation (sync topology discovery findings)
• Implement webhook event bus for real-time alert→ticket latency &lt;30 seconds
• Build integration health monitoring dashboard</t>
  </si>
  <si>
    <t>Correlation engine live, ServiceNow instance, CMDB API, alert enrichment data from W2</t>
  </si>
  <si>
    <t>Bi-directional ServiceNow live, auto-tickets creating with full enrichment, CMDB write-back operational, integration health dashboard</t>
  </si>
  <si>
    <t>Integration Engineer (SFIA L4), ITSM SME (SFIA L5)</t>
  </si>
  <si>
    <t>180–300 hrs (Medium) — peak phase</t>
  </si>
  <si>
    <t>ServiceNow Integration Hub, MuleSoft, REST APIs, Kafka Connect for ITSM streaming, Postman for testing</t>
  </si>
  <si>
    <t>Correlation engine in shadow mode
ServiceNow scoped application access granted
Test environment with realistic data volume</t>
  </si>
  <si>
    <t>Auto-tickets creating correctly for &gt;95% of P1/P2 alerts
CMDB write-back latency &lt;15 min
Zero data loss in integration for 5+ business days</t>
  </si>
  <si>
    <t>Integration UAT with ops team — must process 500+ synthetic tickets without error before production</t>
  </si>
  <si>
    <t>RFC for ITSM integration deployment to production
CMDB CI records for all new integration components</t>
  </si>
  <si>
    <t>Manual ticket creation at scale is unsustainable — ops teams spend 15–25% of time on ticket admin without this</t>
  </si>
  <si>
    <t>ServiceNow PS: Full ITSM integration 300–500 hrs | MuleSoft PS: Enterprise ITSM connector 200–350 hrs</t>
  </si>
  <si>
    <t>Runbook &amp; Change Integration</t>
  </si>
  <si>
    <t>CAB Automation, Runbook Trigger APIs &amp; Problem Management Links</t>
  </si>
  <si>
    <t>• Integrate change risk score into ServiceNow CAB screen (real-time risk display)
• Build runbook trigger APIs (allow AIOps to invoke automation playbooks via API)
• Implement problem management auto-linkage (group related incidents → problem record)
• Create SLA breach prediction alert → ServiceNow notification integration
• Build multi-tool integration for monitoring→ITSM→runbook→notification chain</t>
  </si>
  <si>
    <t>Change risk scoring model from W3, runbook platform (Ansible), problem management process, CAB meeting calendar</t>
  </si>
  <si>
    <t>Change risk score visible in CAB screen, runbook trigger API live, problem auto-linkage operational</t>
  </si>
  <si>
    <t>Integration Engineer (SFIA L4), ITSM SME (SFIA L5), SRE (SFIA L4)</t>
  </si>
  <si>
    <t>ServiceNow CAB workbench, Ansible Tower API, PagerDuty API, xMatters, ServiceNow Problem Management</t>
  </si>
  <si>
    <t>Change risk model validated and approved by CAB chair
Runbook platform live from W5</t>
  </si>
  <si>
    <t>CAB integration tested with 20+ real change records
Runbook triggers tested for all Phase 3 runbooks
Problem auto-linkage creating correct groupings</t>
  </si>
  <si>
    <t>CAB chair sign-off that AI risk scores are accurate and useful — required before live CAB display</t>
  </si>
  <si>
    <t>All AI-triggered actions logged as change records
Problem records auto-created and assigned</t>
  </si>
  <si>
    <t>Manual change risk assessment takes 30–45 min per change — CAB throughput becomes a bottleneck at scale</t>
  </si>
  <si>
    <t>ServiceNow: CAB AI integration PS 80–150 hrs | Gartner: Change risk AI reduces failed changes 20–35%</t>
  </si>
  <si>
    <t>FinOps &amp; SRE Tool Integration</t>
  </si>
  <si>
    <t>FinOps Platform, SRE Reliability APIs &amp; Executive Dashboard Feeds</t>
  </si>
  <si>
    <t>• Integrate FinOps AI recommendations into cloud management console (AWS, Azure, GCP)
• Build SRE reliability scorecard API (per-service reliability score visible in ITSM)
• Create executive dashboard data feeds (real-time KPI export to BI tools)
• Implement integration monitoring with automated alerting on connector failures
• Build API versioning and deprecation management for all integrations</t>
  </si>
  <si>
    <t>FinOps AI model from W3, cloud management console access, BI tool (PowerBI/Tableau), SRE reliability metrics</t>
  </si>
  <si>
    <t>FinOps integration live, SRE scorecard in ITSM, executive dashboard feeds operational, integration monitoring active</t>
  </si>
  <si>
    <t>115–190 hrs (Medium)</t>
  </si>
  <si>
    <t>AWS Cost Optimisation Hub, Azure Advisor, CloudHealth, Power BI / Tableau, ServiceNow Performance Analytics</t>
  </si>
  <si>
    <t>FinOps AI model validated with &gt;80% right-sizing accuracy
Cloud console API access approved</t>
  </si>
  <si>
    <t>FinOps recommendations appearing in cloud console
Executive dashboard refreshing every 15 min
Integration health &gt;99.9%</t>
  </si>
  <si>
    <t>FinOps team validates AI recommendations against actual cloud bills — &lt;5% variance required</t>
  </si>
  <si>
    <t>Problem records auto-created for integration health failures
Change records for all integration deployments</t>
  </si>
  <si>
    <t>Without FinOps integration, cloud waste removal savings are theoretical — not realised in the gainshare calculation</t>
  </si>
  <si>
    <t>CloudHealth PS: FinOps integration 80–150 hrs | Power BI: AIOps dashboard build 40–80 hrs</t>
  </si>
  <si>
    <t xml:space="preserve">  W5 — Automation &amp; Runbooks</t>
  </si>
  <si>
    <t>Automation Platform Setup &amp; Design Patterns</t>
  </si>
  <si>
    <t>Platform Selection, Safe Harbour Definition &amp; Runbook Template Design</t>
  </si>
  <si>
    <t>• Evaluate automation platforms (Ansible, Terraform, ServiceNow Flow, custom)
• Define safe harbour boundaries (what AI can NEVER automate without human approval)
• Design runbook template structure (trigger, pre-checks, steps, rollback, post-checks)
• Document approval workflow design for automated actions
• Identify top 10 highest-volume, lowest-risk candidate runbooks
• Set up automation platform in non-production environment</t>
  </si>
  <si>
    <t>Use case backlog, ITSM process maps, security policy, change advisory requirements</t>
  </si>
  <si>
    <t>Automation platform selected and live in non-prod, safe harbour policy document, runbook template, top 10 candidate list</t>
  </si>
  <si>
    <t>SRE (SFIA L4), Automation Engineer (SFIA L4), Solution Architect (SFIA L6)</t>
  </si>
  <si>
    <t>25–40 hrs (Medium)</t>
  </si>
  <si>
    <t>Red Hat Ansible Tower, Terraform, ServiceNow Flow Designer, GitHub Actions, Python scripting</t>
  </si>
  <si>
    <t>Safe harbour policy approved by CISO and CTO
Automation platform budget approved</t>
  </si>
  <si>
    <t>Platform live in non-prod
Safe harbour policy signed by CISO
Top 10 runbooks approved for Phase 2 build</t>
  </si>
  <si>
    <t>CISO must sign safe harbour policy before any automation build begins</t>
  </si>
  <si>
    <t>RFC for automation platform deployment
Safe harbour policy stored in ITSM knowledge base</t>
  </si>
  <si>
    <t>Building automation without safe harbour boundaries risks AI causing production outages autonomously</t>
  </si>
  <si>
    <t>Red Hat Ansible PS: Platform setup 24–40 hrs | ITIL 4: Safe automation boundaries best practice</t>
  </si>
  <si>
    <t>First Runbook Library (Low Risk)</t>
  </si>
  <si>
    <t>20–30 Production Runbooks: Monitoring, Restart &amp; Cleanup Automations</t>
  </si>
  <si>
    <t>• Build and test 20–30 runbooks starting with lowest-risk:
  - Service health check &amp; restart (5 runbooks)
  - Disk space cleanup &amp; archive (3 runbooks)
  - Password unlock &amp; account reset (4 runbooks)
  - Alert acknowledgement &amp; routing (3 runbooks)
  - Certificate expiry notification (2 runbooks)
  - Log rotation &amp; housekeeping (3 runbooks)
• Implement human-in-loop approval for all Phase 2 runbooks
• Build runbook execution logging and audit trail</t>
  </si>
  <si>
    <t>Automation platform live, approved runbook templates, ITSM integration from W4, ops team access</t>
  </si>
  <si>
    <t>20–30 production runbooks, all with approval workflows, execution logging, rollback capability and test evidence</t>
  </si>
  <si>
    <t>SRE (SFIA L4), Automation Engineer (SFIA L4), ITSM SME (SFIA L5)</t>
  </si>
  <si>
    <t>90–150 hrs (Medium — ~6 hrs/runbook per Red Hat PS benchmark)</t>
  </si>
  <si>
    <t>Red Hat Ansible, ServiceNow Flow Designer, Ansible Tower for scheduling, Git for version control</t>
  </si>
  <si>
    <t>Automation platform live and tested
ITSM integration operational
Safe harbour policy signed</t>
  </si>
  <si>
    <t>All 20–30 runbooks tested with &gt;3 successful executions in staging
Rollback tested for each runbook
Ops team trained</t>
  </si>
  <si>
    <t>Ops lead must approve each runbook before production deployment</t>
  </si>
  <si>
    <t>Each runbook execution creates a change record in ITSM
Failed executions auto-create incident records</t>
  </si>
  <si>
    <t>Without automation, L1 ticket volume cannot be reduced — the gainshare calculation misses its first target</t>
  </si>
  <si>
    <t>Red Hat Ansible PS: ~6 hrs/runbook build and test | PagerDuty: First automation library 90–150 hrs</t>
  </si>
  <si>
    <t>Expanded Library: Complex Multi-Step Runbooks</t>
  </si>
  <si>
    <t>30–75 Runbooks: Failover, Scaling, Incident Bridge &amp; Conditional Logic</t>
  </si>
  <si>
    <t>• Build 30+ additional runbooks with conditional branching:
  - Database primary failover (automated with approval)
  - Auto-scaling trigger based on ML capacity forecast
  - Incident bridge auto-open for P1 (with stakeholder invites)
  - SSL/TLS certificate renewal automation
  - Network route failover
  - Kubernetes pod restart and re-scheduling
• Implement conditional branching logic (if X then Y else Z)
• Build runbook chaining (trigger runbook B from runbook A output)</t>
  </si>
  <si>
    <t>Phase 2 runbook library, ML-based predictive alerts from W3, expanded ITSM integrations</t>
  </si>
  <si>
    <t>30–75 runbooks in production with conditional logic, chaining capability, and &lt;5% execution failure rate</t>
  </si>
  <si>
    <t>SRE (SFIA L4), Automation Engineer (SFIA L4), Platform Engineer (SFIA L4)</t>
  </si>
  <si>
    <t>170–280 hrs (Medium)</t>
  </si>
  <si>
    <t>Ansible Tower, Terraform for IaC runbooks, AWS Lambda / Azure Functions, PagerDuty Runbook Automation</t>
  </si>
  <si>
    <t>Phase 2 runbook library stable (&gt;95% execution success rate)
ML predictive alerts providing advance warning signals</t>
  </si>
  <si>
    <t>All runbooks tested under load
Conditional logic validated with edge cases
Runbook chaining tested end-to-end</t>
  </si>
  <si>
    <t>SRE lead sign-off on each complex runbook — peer review mandatory for database and network runbooks</t>
  </si>
  <si>
    <t>Each runbook execution tracked as change record
Chained runbooks linked in ITSM change relationships</t>
  </si>
  <si>
    <t>Inability to execute complex remediations automatically keeps MTTR high — fails Phase 3 KPI targets</t>
  </si>
  <si>
    <t>ServiceNow: Complex runbook build 8–12 hrs each | Ansible: Conditional playbook development best practices</t>
  </si>
  <si>
    <t>Closed-Loop Library: 75–120+ Runbooks &amp; Decision Trees</t>
  </si>
  <si>
    <t>Full Autonomous Remediation, FinOps Actions &amp; AI Decision Trees</t>
  </si>
  <si>
    <t>• Expand to 75–120+ runbooks with full autonomous execution (CISO-approved scope)
• Build AI decision trees (RL agent selects runbook based on incident context)
• Implement closed-loop: detect → diagnose → select runbook → execute → verify → close
• Build FinOps right-sizing automation (AI recommends → auto-executes after approval window)
• Create rollback orchestration for failed autonomous actions
• Implement autonomous execution audit trail (SHAP explanation per decision)</t>
  </si>
  <si>
    <t>RL agent from W3, expanded ITSM integrations, FinOps AI recommendations, CISO autonomous scope approval</t>
  </si>
  <si>
    <t>75–120+ runbooks, RL-driven decision trees, closed-loop execution with &lt;5 min end-to-end, FinOps automation, audit trail</t>
  </si>
  <si>
    <t>SRE (SFIA L4), Automation Engineer (SFIA L4), ML Engineer (SFIA L5)</t>
  </si>
  <si>
    <t>145–230 hrs (Medium) — sustained across 12 months</t>
  </si>
  <si>
    <t>Ansible Tower, Stable-Baselines3 for RL integration, SHAP for explainability, ServiceNow Autonomous Ops module</t>
  </si>
  <si>
    <t>RL agent achieving &gt;70% correct runbook selection in simulation
CISO autonomous scope approval signed</t>
  </si>
  <si>
    <t>&gt;70% of L1/L2 incidents resolved autonomously
All autonomous actions have audit trail
Rollback tested for every runbook</t>
  </si>
  <si>
    <t>Monthly autonomous ops audit: CISO reviews execution log and any boundary violations</t>
  </si>
  <si>
    <t>All autonomous executions logged as change records with AI reasoning
Failed autonomous actions auto-escalate to on-call</t>
  </si>
  <si>
    <t>Without closed-loop, autonomous ops target (&gt;70% resolution) is impossible — gainshare Phase 4 payments at risk</t>
  </si>
  <si>
    <t>Gartner: Closed-loop automation library 75–120 runbooks for enterprise | IBM: Autonomous IT ops 2023</t>
  </si>
  <si>
    <t xml:space="preserve">  W6 — GenAI / LLM Layer</t>
  </si>
  <si>
    <t>GenAI Feasibility &amp; Privacy Assessment</t>
  </si>
  <si>
    <t>Use Case Prioritisation, Data Privacy Review &amp; Architecture Blueprint</t>
  </si>
  <si>
    <t>• Identify top 5 GenAI use cases for AIOps (summarisation, RCA, runbook co-pilot, NL query, change explanation)
• Conduct data privacy impact assessment for LLM data flows
• Define data handling policy (no PII/secrets to LLM APIs)
• Evaluate LLM options (Claude API, Azure OpenAI, local/self-hosted)
• Design prompt governance framework
• Confirm regulatory constraints (data residency, audit requirements)</t>
  </si>
  <si>
    <t>Use case backlog, data classification register, regulatory requirements, cloud platform decision</t>
  </si>
  <si>
    <t>GenAI use case priority list, data privacy policy for LLM, architecture blueprint, LLM platform selected</t>
  </si>
  <si>
    <t>AI Engineer (SFIA L5), Security Architect (SFIA L6), Solution Architect (SFIA L6)</t>
  </si>
  <si>
    <t>0–20 hrs (Small/Medium — minimal in Phase 1)</t>
  </si>
  <si>
    <t>Anthropic Claude API, Azure OpenAI, Hugging Face, LangChain, Guardrails AI for safety</t>
  </si>
  <si>
    <t>Data classification register available
Regulatory requirements documented</t>
  </si>
  <si>
    <t>GenAI privacy policy approved by CISO
LLM platform selected
No PII policy documented and communicated</t>
  </si>
  <si>
    <t>CISO must approve data handling policy before any LLM integration</t>
  </si>
  <si>
    <t>RFC for LLM API access
Data handling policy stored in knowledge base</t>
  </si>
  <si>
    <t>Feeding sensitive operational data to LLMs without governance creates data breach and regulatory risk</t>
  </si>
  <si>
    <t>OWASP LLM Top 10: LLM security in enterprise | ICO: AI and data protection guidance 2023</t>
  </si>
  <si>
    <t>GenAI Pilot: Incident Summarisation</t>
  </si>
  <si>
    <t>Off-Shelf LLM API Integration for Alert Descriptions &amp; Incident Summaries</t>
  </si>
  <si>
    <t>• Integrate LLM API (Claude/OpenAI) for auto-generating plain-English incident summaries
• Build prompt templates for: incident summary, alert description enrichment, impact assessment
• Implement prompt library v0.1 with tested, validated prompts for 5 use cases
• Add LLM-generated summary to auto-created ITSM tickets (from W4 integration)
• Measure quality: ops team rates summaries 1–5 on accuracy and usefulness
• Implement output safety layer (block PII, secrets, hallucination guardrails)</t>
  </si>
  <si>
    <t>Auto-ticketing integration from W4, LLM API access, prompt templates, ops team test group</t>
  </si>
  <si>
    <t>Incident summarisation live in 100% of auto-created tickets, prompt library v0.1, quality score &gt;4.0/5 from ops team</t>
  </si>
  <si>
    <t>AI Engineer (SFIA L5), Prompt Engineer (SFIA L4)</t>
  </si>
  <si>
    <t>50–80 hrs (Medium)</t>
  </si>
  <si>
    <t>Anthropic Claude API, LangChain, Guardrails AI, ServiceNow for ticket display, Promptfoo for prompt testing</t>
  </si>
  <si>
    <t>LLM API access provisioned
Data privacy policy approved
Auto-ticketing live from W4</t>
  </si>
  <si>
    <t>LLM summaries appearing in 100% of auto-tickets
Ops team quality rating &gt;4.0/5
No PII exposure incidents</t>
  </si>
  <si>
    <t>Ops team lead rates pilot quality — must achieve &gt;4.0/5 before expanding to Phase 3</t>
  </si>
  <si>
    <t>All LLM calls logged with prompt and response (for audit)
ITSM ticket updated with AI-generated field</t>
  </si>
  <si>
    <t>Without AI-generated summaries, ops engineers spend 8–12 min per incident reading raw alert logs to understand context</t>
  </si>
  <si>
    <t>Anthropic/OpenAI PS: Incident summarisation pilot 50–80 hrs | Gartner: GenAI ops pilot 4–8 weeks</t>
  </si>
  <si>
    <t>RAG Pipeline &amp; Ops Assistant v1</t>
  </si>
  <si>
    <t>Knowledge Base RAG, RCA Narratives, Change Risk Explanation &amp; Ops Assistant Beta</t>
  </si>
  <si>
    <t>• Build RAG (Retrieval-Augmented Generation) pipeline on ops knowledge base (runbooks, post-mortems, KB articles)
• Implement automated RCA narrative generation (LLM explains root cause in plain English)
• Build change risk plain-English explanation (LLM explains why change is risky)
• Create ops assistant chatbot v1 (NL queries: 'what caused this alert?', 'show me similar incidents')
• Implement multi-turn conversation management for ops assistant
• Build feedback loop: ops team rates AI responses to improve prompts</t>
  </si>
  <si>
    <t>Ops knowledge base (runbooks, KB articles, post-mortems), causal AI outputs from W3, ops assistant infrastructure</t>
  </si>
  <si>
    <t>RAG pipeline operational, RCA narratives in ITSM tickets, change risk explanations in CAB, ops assistant beta live</t>
  </si>
  <si>
    <t>AI Engineer (SFIA L5), Prompt Engineer (SFIA L4), Data Engineer (SFIA L4)</t>
  </si>
  <si>
    <t>LangChain, Anthropic Claude API, Pinecone/Weaviate (vector DB), FastAPI for ops assistant backend, React for UI</t>
  </si>
  <si>
    <t>Ops knowledge base &gt;500 documents indexed
Causal AI layer live from W3
RAG infrastructure provisioned</t>
  </si>
  <si>
    <t>RAG retrieval accuracy &gt;80% (correct KB article retrieved for query)
RCA narrative rated &gt;4.0/5 by ops team
Ops assistant handling &gt;80% of queries without escalation</t>
  </si>
  <si>
    <t>Ops team lead validates RAG accuracy on 50 test queries before production launch</t>
  </si>
  <si>
    <t>All ops assistant queries logged
RAG source documents tracked for audit
Feedback scores logged in ITSM</t>
  </si>
  <si>
    <t>Without RAG, LLM responses are generic and often wrong for customer-specific ops context — low adoption risk</t>
  </si>
  <si>
    <t>LangChain: RAG pipeline build 80–120 hrs | Anthropic: Enterprise RAG architecture guidance</t>
  </si>
  <si>
    <t>Full GenAI Ops Assistant: Fine-Tuning, Multi-Turn &amp; Autonomous Integration</t>
  </si>
  <si>
    <t>Production Ops Assistant, NL Runbook Triggering &amp; Prompt Governance</t>
  </si>
  <si>
    <t>• Fine-tune LLM on organisation's operational history (incident logs, RCA reports, runbooks)
• Implement NL runbook triggering ('restart the payment service' → triggers W5 runbook)
• Build multi-turn incident management workflow (ops assistant guides engineer through resolution)
• Create autonomous decision explanation layer (AI explains every autonomous action in plain English)
• Implement prompt governance framework (version control, testing, approval for prompt changes)
• Build GenAI usage dashboard (cost, query volume, accuracy trends, user adoption)</t>
  </si>
  <si>
    <t>Fine-tuning dataset (12+ months ops data), RL agent decisions from W3, runbook trigger APIs from W4, prompt library</t>
  </si>
  <si>
    <t>Fine-tuned ops assistant in production, NL runbook triggering live, autonomous explanation layer, prompt governance live</t>
  </si>
  <si>
    <t>AI Engineer (SFIA L5), Prompt Engineer (SFIA L4), ML Engineer (SFIA L5)</t>
  </si>
  <si>
    <t>150–240 hrs (Medium) — peak phase for this workstream</t>
  </si>
  <si>
    <t>Anthropic Claude API (fine-tuning), LangChain, Promptfoo for prompt testing, Git for prompt version control</t>
  </si>
  <si>
    <t>Phase 3 ops assistant achieving &gt;80% query accuracy for &gt;60 days
Fine-tuning dataset prepared and approved
Autonomous ops live from W5</t>
  </si>
  <si>
    <t>Fine-tuned model outperforming base model on ops-specific benchmark
NL runbook triggering tested with 20+ real scenarios
Every autonomous action has plain-English explanation</t>
  </si>
  <si>
    <t>CISO reviews fine-tuning data for privacy compliance before training begins</t>
  </si>
  <si>
    <t>All NL-triggered runbooks create change records
Fine-tuning data handling logged for compliance</t>
  </si>
  <si>
    <t>Without fine-tuning, the ops assistant accuracy plateaus at ~70% — not good enough for engineer trust and adoption</t>
  </si>
  <si>
    <t>Anthropic: Fine-tuning for enterprise 120–200 hrs | LangChain: Production ops assistant 150–250 hrs</t>
  </si>
  <si>
    <t xml:space="preserve">  W7 — Observability &amp; Monitoring</t>
  </si>
  <si>
    <t>Full-Estate Instrumentation &amp; Baseline</t>
  </si>
  <si>
    <t>Agent Deployment, Log Aggregation, Metrics Baseline &amp; APM Pilot</t>
  </si>
  <si>
    <t>• Deploy monitoring agents across 100% of Tier-1 systems (servers, containers, databases)
• Configure centralised log aggregation (target: all Tier-1 logs ingested within 24 hrs of Phase 1)
• Establish metrics baseline for CPU, memory, disk, network per system
• Set initial alert thresholds (median + 3σ) — document and test each one
• Deploy APM instrumentation on top 5 business-critical applications
• Produce observability coverage report: % covered by tier</t>
  </si>
  <si>
    <t>Asset inventory from W1, network access approvals, agent deployment window, APM platform licence</t>
  </si>
  <si>
    <t>100% Tier-1 agent coverage, log aggregation live, metrics baseline documented, APM on top 5 apps, coverage report</t>
  </si>
  <si>
    <t>Observability Engineer (SFIA L4), DevOps Engineer (SFIA L3)</t>
  </si>
  <si>
    <t>50–80 hrs (Medium) — peak relative to later phases</t>
  </si>
  <si>
    <t>Datadog / Dynatrace / Prometheus + Grafana, Elastic APM, Fluentd agents, Terraform for agent deployment</t>
  </si>
  <si>
    <t>Agent deployment windows approved
Network firewall rules confirmed
APM platform licensed</t>
  </si>
  <si>
    <t>100% Tier-1 coverage confirmed
Log aggregation latency &lt;5 min
All alert thresholds documented and tested</t>
  </si>
  <si>
    <t>Coverage report signed off by customer IT Director before Phase 2</t>
  </si>
  <si>
    <t>All new monitoring components registered as CIs in CMDB
Alert thresholds documented in knowledge base</t>
  </si>
  <si>
    <t>Without complete observability, the correlation engine has blind spots — will miss 20–40% of real incidents</t>
  </si>
  <si>
    <t>Dynatrace PS: Full estate instrumentation 180–300 hrs | Datadog: Agent deployment 4–8 hrs per 100 nodes</t>
  </si>
  <si>
    <t>APM, Tracing &amp; Coverage Gap Remediation</t>
  </si>
  <si>
    <t>Full APM Coverage, Distributed Tracing &amp; Synthetic Monitoring</t>
  </si>
  <si>
    <t>• Deploy APM to all production applications (full coverage)
• Implement distributed tracing across microservices (OpenTelemetry standard)
• Set up synthetic monitoring for all customer-facing transactions
• Remediate coverage gaps identified in Phase 1 report
• Integrate observability data into correlation engine feeds (W2)
• Tune alert thresholds based on 4+ weeks of baseline data</t>
  </si>
  <si>
    <t>Phase 1 coverage report, APM platform, OpenTelemetry instrumentation libraries, synthetic test scripts</t>
  </si>
  <si>
    <t>Full APM coverage, distributed tracing live, synthetic monitors running, alert thresholds tuned, gap report closed</t>
  </si>
  <si>
    <t>110–180 hrs (Medium)</t>
  </si>
  <si>
    <t>Datadog APM, Dynatrace, OpenTelemetry, Grafana Tempo for tracing, Synthetic Monitoring (Datadog/Checkly)</t>
  </si>
  <si>
    <t>Phase 1 coverage report complete
OpenTelemetry libraries approved for application teams</t>
  </si>
  <si>
    <t>100% APM coverage
Trace sampling at &gt;10% of all transactions
Synthetic monitors covering all critical user journeys</t>
  </si>
  <si>
    <t>APM coverage audit — customer application leads verify coverage of their applications</t>
  </si>
  <si>
    <t>All APM deployment changes as RFCs
Synthetic test failures auto-create incidents</t>
  </si>
  <si>
    <t>Without tracing, distributed system incidents cannot be diagnosed — MTTR stays high for microservices issues</t>
  </si>
  <si>
    <t>OpenTelemetry CNCF: Distributed tracing adoption guide | Dynatrace PS: Full APM 110–180 hrs medium</t>
  </si>
  <si>
    <t>SLO/SLA Instrumentation &amp; Reliability Scoring</t>
  </si>
  <si>
    <t>Service Level Objectives, Reliability Scoring per Service &amp; Custom Metrics</t>
  </si>
  <si>
    <t>• Define and implement SLOs for all Tier-1 services (error rate, latency, availability)
• Build SLO compliance dashboard (burn rate tracking, error budget alerts)
• Create reliability scoring per service (composite of SLO, incident rate, MTTR, change success)
• Build custom metrics for business KPIs (transaction success rate, revenue-impacting availability)
• Standardise dashboard templates across all teams (one pane of glass for ops)</t>
  </si>
  <si>
    <t>SLO definitions from business owners, Phase 2 observability data, service topology map</t>
  </si>
  <si>
    <t>SLO framework live for all Tier-1 services, reliability scorecard per service, custom business metrics, standard dashboards</t>
  </si>
  <si>
    <t>Observability Engineer (SFIA L4), Platform Engineer (SFIA L4)</t>
  </si>
  <si>
    <t>70–120 hrs (Medium)</t>
  </si>
  <si>
    <t>Grafana SLO, Datadog SLOs, Nobl9, Prometheus recording rules, ServiceNow Performance Analytics</t>
  </si>
  <si>
    <t>SLO targets agreed with business owners
Phase 2 observability data &gt;60 days history</t>
  </si>
  <si>
    <t>SLOs defined and tracking for all Tier-1 services
Error budget alerts tested
Reliability scorecard reviewed by service owners</t>
  </si>
  <si>
    <t>Business owners sign off SLO targets before instrumentation — avoids disputes later</t>
  </si>
  <si>
    <t>SLO breaches auto-create problem records
Reliability scorecard published to executive dashboard</t>
  </si>
  <si>
    <t>Without SLOs, the team cannot measure whether AIOps is improving service quality objectively</t>
  </si>
  <si>
    <t>Google SRE Book: SLO implementation | Nobl9: SLO adoption 40–80 hrs setup | Grafana: SLO dashboard 20–40 hrs</t>
  </si>
  <si>
    <t>Observability-as-Code &amp; Cost Optimisation</t>
  </si>
  <si>
    <t>IaC Monitoring Templates, New Service Onboarding &amp; Monitoring Cost Optimisation</t>
  </si>
  <si>
    <t>• Build observability-as-code templates (new services auto-instrumented on deploy)
• Implement new service onboarding process (&lt;1 day to full observability)
• Conduct monitoring cost optimisation (remove redundant agents, tune data retention)
• Review and rationalise alert thresholds (target: maintain &lt;60% noise level achieved in Phase 2)
• Produce annual observability maturity report</t>
  </si>
  <si>
    <t>IaC templates, CI/CD pipelines, monitoring cost data, Phase 3 SLO framework</t>
  </si>
  <si>
    <t>Observability-as-code live, new service onboarding &lt;1 day, monitoring cost reduced, annual maturity report</t>
  </si>
  <si>
    <t>50–80 hrs (Medium) — steady state</t>
  </si>
  <si>
    <t>Terraform, Helm charts for monitoring, Grafana-as-code, Datadog Terraform provider</t>
  </si>
  <si>
    <t>CI/CD pipelines accessible for observability integration
Phase 3 SLO framework stable</t>
  </si>
  <si>
    <t>New service onboarding process tested end-to-end
Monitoring cost baseline established and target set</t>
  </si>
  <si>
    <t>DevOps lead validates observability-as-code templates on 3 new services before standard release</t>
  </si>
  <si>
    <t>All monitoring template changes as RFCs
New CI records auto-created for monitored services</t>
  </si>
  <si>
    <t>Without IaC monitoring, new services join dark — observability coverage degrades as the estate evolves</t>
  </si>
  <si>
    <t>Terraform Registry: Monitoring providers | HashiCorp: Observability-as-code 40–60 hrs | Datadog Terraform PS</t>
  </si>
  <si>
    <t xml:space="preserve">  W8 — Security &amp; Compliance</t>
  </si>
  <si>
    <t>Security Architecture &amp; Data Privacy</t>
  </si>
  <si>
    <t>Threat Model, DPIA, Access Control Design &amp; ISO27001 Gap Assessment</t>
  </si>
  <si>
    <t>• Conduct Data Protection Impact Assessment (DPIA) for AI/ML data flows
• Perform threat model on log ingestion pipelines (STRIDE methodology)
• Design access control architecture (least privilege for AIOps platform roles)
• Conduct ISO27001/SOC2 gap assessment relevant to AIOps scope
• Define data classification and handling policy for operational data
• Document data retention and archival requirements</t>
  </si>
  <si>
    <t>Data classification register, existing security policies, regulatory requirements, system architecture diagrams</t>
  </si>
  <si>
    <t>DPIA report, threat model document, access control design, ISO27001 gap report, data handling policy</t>
  </si>
  <si>
    <t>Security Architect (SFIA L6), GRC Analyst (SFIA L4)</t>
  </si>
  <si>
    <t>OWASP Threat Dragon, Microsoft Threat Modelling Tool, OneTrust for DPIA, ServiceNow GRC</t>
  </si>
  <si>
    <t>Architecture diagrams available
Data classification register exists
GDPR/regulatory requirements confirmed</t>
  </si>
  <si>
    <t>DPIA completed and approved by DPO
Threat model reviewed by Security Architect
Access control design approved by CISO</t>
  </si>
  <si>
    <t>DPO and CISO must sign DPIA before any data ingestion begins</t>
  </si>
  <si>
    <t>Security risks logged as problem records
IAM changes tracked as RFCs</t>
  </si>
  <si>
    <t>Ingesting operational data without DPIA creates GDPR Article 35 violation risk — fine up to 4% of global turnover</t>
  </si>
  <si>
    <t>ICO: DPIA guidance for AI 2023 | OWASP: Threat modelling for ML systems | ISO27001:2022 Annex A</t>
  </si>
  <si>
    <t>Platform Security Review &amp; SOC Integration</t>
  </si>
  <si>
    <t>Correlation Engine Security, Data Residency Validation &amp; Vulnerability Assessment</t>
  </si>
  <si>
    <t>• Review correlation engine security architecture (data in transit/at rest encryption)
• Validate data residency requirements (confirm all data stays in approved regions)
• Integrate AIOps platform with existing SOC/SIEM (security alerts from AIOps → SOC)
• Conduct vulnerability assessment on AIOps platform components
• Implement security monitoring for AIOps platform itself (meta-monitoring)
• Review and update access control lists as Phase 2 components are deployed</t>
  </si>
  <si>
    <t>Correlation engine architecture, data residency requirements, SOC SIEM platform, vulnerability scanner</t>
  </si>
  <si>
    <t>Security review sign-off document, data residency confirmation, SOC integration live, vulnerability report (all critical resolved)</t>
  </si>
  <si>
    <t>36–60 hrs (Medium)</t>
  </si>
  <si>
    <t>Tenable / Qualys for vulnerability scan, Splunk/Microsoft Sentinel for SOC integration, AWS Security Hub, Prisma Cloud</t>
  </si>
  <si>
    <t>Correlation engine architecture finalised
SOC team engaged
Vulnerability scanner access approved</t>
  </si>
  <si>
    <t>All critical vulnerabilities resolved before production
SOC receiving AIOps security alerts
Data residency confirmed in writing</t>
  </si>
  <si>
    <t>Security sign-off required from CISO before correlation engine goes to production</t>
  </si>
  <si>
    <t>All security vulnerabilities tracked as problem records with priority based on CVSS score</t>
  </si>
  <si>
    <t>An unsecured correlation engine with full access to log data is a high-value target for credential harvesting</t>
  </si>
  <si>
    <t>NIST CSF: Security for AI/ML platforms | CIS Controls v8: Monitoring platform security</t>
  </si>
  <si>
    <t>Penetration Testing of Auto-Remediation</t>
  </si>
  <si>
    <t>Pen Test Automation Paths, Production Write-Access Approval &amp; GDPR Evidence</t>
  </si>
  <si>
    <t>• Conduct penetration test on all auto-remediation execution paths
• Test for privilege escalation via runbook execution
• Validate that runbook guardrails cannot be bypassed
• Complete formal production write-access security approval for AIOps platform
• Gather initial SOC2 Type II evidence for AIOps-related controls
• Conduct GDPR Article 22 review for automated decision-making (in regulated sectors)</t>
  </si>
  <si>
    <t>Runbook library from W5, penetration testing scope agreement, SOC2 audit framework, GDPR Article 22 assessment</t>
  </si>
  <si>
    <t>Penetration test report (all critical findings resolved), production write-access approval, SOC2 evidence pack v1</t>
  </si>
  <si>
    <t>Security Architect (SFIA L6), Penetration Tester (external), GRC Analyst (SFIA L4)</t>
  </si>
  <si>
    <t>50–80 hrs (Medium) — peak phase for this workstream</t>
  </si>
  <si>
    <t>Burp Suite, Metasploit (controlled environment), AWS Inspector, OWASP ZAP, OneTrust for compliance tracking</t>
  </si>
  <si>
    <t>All Phase 3 runbooks complete and in staging
Pen test scope approved by CISO
Production write-access governance process defined</t>
  </si>
  <si>
    <t>Penetration test report issued with zero critical findings
Production write-access formally approved by CISO and CTO
SOC2 evidence collected for all AIOps controls</t>
  </si>
  <si>
    <t>Board/CISO level sign-off on production write-access — this is a key governance milestone</t>
  </si>
  <si>
    <t>Security findings tracked as problem records
Production write-access approval stored in change management</t>
  </si>
  <si>
    <t>Giving AI write access to production without pen testing creates existential risk — a single exploit could cause cascading outages</t>
  </si>
  <si>
    <t>OWASP: Automated remediation security testing | NIST AI RMF: AI security testing | SOC2 Type II requirements</t>
  </si>
  <si>
    <t>Model Audit Trails, SOC2 Type II &amp; AI Ethics</t>
  </si>
  <si>
    <t>Regulatory Explainability, Annual Security Review &amp; AI Ethics Framework</t>
  </si>
  <si>
    <t>• Implement model audit trail (log every autonomous AI decision with inputs, outputs, SHAP explanation)
• Complete SOC2 Type II evidence collection for full programme scope
• Conduct AI ethics review (bias testing, fairness assessment on autonomous decisions)
• Produce annual security review report for AIOps platform
• Implement automated compliance reporting (regulatory evidence generated automatically)
• Review and update DPIA as autonomous scope expands</t>
  </si>
  <si>
    <t>Autonomous execution logs, SOC2 audit framework, AI ethics assessment methodology, SHAP explanations from W3</t>
  </si>
  <si>
    <t>Model audit trail operational, SOC2 Type II report, AI ethics review report, annual security review, automated compliance dashboard</t>
  </si>
  <si>
    <t>Security Architect (SFIA L6), GRC Analyst (SFIA L4), ML Engineer (SFIA L5)</t>
  </si>
  <si>
    <t>38–60 hrs (Medium) — sustained compliance activity</t>
  </si>
  <si>
    <t>MLflow model audit logging, SHAP, OneTrust, Vanta for SOC2 automation, IBM OpenScale for AI fairness</t>
  </si>
  <si>
    <t>Phase 3 autonomous decisions running for &gt;90 days with logs
SOC2 audit scope agreed with auditor</t>
  </si>
  <si>
    <t>12 months of model audit logs available and searchable
SOC2 Type II audit passed
AI ethics review completed with no critical findings</t>
  </si>
  <si>
    <t>External auditor validates SOC2 Type II evidence — independent of delivery team</t>
  </si>
  <si>
    <t>All compliance activities logged in GRC system
Audit trail stored in immutable log storage</t>
  </si>
  <si>
    <t>Without audit trails, autonomous AI decisions have no accountability — unacceptable in regulated industries</t>
  </si>
  <si>
    <t>SOC2 Trust Services Criteria | EU AI Act Article 13: Transparency | IEEE 7001: AI Accountability</t>
  </si>
  <si>
    <t xml:space="preserve">  W9 — Change Mgmt &amp; Training</t>
  </si>
  <si>
    <t>Stakeholder Mapping &amp; Awareness Campaign</t>
  </si>
  <si>
    <t>Change Impact Analysis, Communication Plan &amp; AIOps Awareness Training</t>
  </si>
  <si>
    <t>• Conduct stakeholder mapping and change impact analysis
• Identify change champions in each ops team
• Build communication plan (what, when, who, channel per stakeholder group)
• Deliver AIOps awareness sessions (what is AIOps, what will change, what won't)
• Conduct resistance risk assessment (which roles most at risk of resisting automation)
• Establish change champion network with monthly cadence</t>
  </si>
  <si>
    <t>Org chart, job descriptions for affected roles, programme communications plan, executive sponsor commitment</t>
  </si>
  <si>
    <t>Stakeholder map, change impact assessment, communication plan, awareness training delivered to 100% of ops team</t>
  </si>
  <si>
    <t>Change Manager (SFIA L5), L&amp;D Specialist (SFIA L4)</t>
  </si>
  <si>
    <t>Prosci ADKAR model, Miro for stakeholder mapping, Confluence for comms plan, Microsoft Teams for training delivery</t>
  </si>
  <si>
    <t>Executive sponsor engaged and visible
Programme communications channel established</t>
  </si>
  <si>
    <t>Stakeholder map completed
Awareness sessions delivered to &gt;90% of ops team
Change champion network formed</t>
  </si>
  <si>
    <t>Executive sponsor delivers opening message at first awareness session — signals commitment</t>
  </si>
  <si>
    <t>Stakeholder concerns logged as risk items in ITSM RAID log</t>
  </si>
  <si>
    <t>Without awareness building, ops teams resist automation — adoption rates stay below 30% and Phase 2 KPIs are not met</t>
  </si>
  <si>
    <t>Prosci: Change awareness campaign 24–40 hrs | HDI: AIOps change management best practice 2023</t>
  </si>
  <si>
    <t>Adoption Training: Correlation Engine</t>
  </si>
  <si>
    <t>Ops Team Training on Alert Noise Reduction &amp; New Workflows</t>
  </si>
  <si>
    <t>• Train ops team on new alert workflow (fewer alerts, enriched context, different triage process)
• Address resistance: 'Will AI replace my job?' — reframe role as AI-augmented ops engineer
• Train L1/L2 teams on reviewing AI-created tickets vs manual tickets
• Train runbook approvers on Phase 2 automation approval workflow
• Conduct Prosci ADKAR Phase 2 reinforcement check (survey: knowledge, ability, desire)
• Produce first change newsletter: early wins and alert noise reduction metrics</t>
  </si>
  <si>
    <t>Phase 2 correlation engine live, new ticket workflow design, runbook approval process, ADKAR survey template</t>
  </si>
  <si>
    <t>100% ops team trained on new alert workflow, runbook approvers certified, ADKAR survey completed, change newsletter issued</t>
  </si>
  <si>
    <t>48–80 hrs (Medium)</t>
  </si>
  <si>
    <t>Microsoft Teams/Zoom for training, LMS for tracking completion, Prosci ADKAR survey tool, Confluence</t>
  </si>
  <si>
    <t>Correlation engine live in production
New ticket workflow documented and signed off</t>
  </si>
  <si>
    <t>100% ops team trained (tracked in LMS)
Runbook approver certification passed by all approvers
ADAKR survey showing &gt;70% positive adoption</t>
  </si>
  <si>
    <t>Training completion tracked in LMS — 100% completion required before runbook approval goes live</t>
  </si>
  <si>
    <t>Training completion logged in HR system
ADKAR survey results reported to SteerCo</t>
  </si>
  <si>
    <t>Untrained ops teams bypass AI-suggested workflows — reverting to manual triage removes all noise reduction benefit</t>
  </si>
  <si>
    <t>Prosci: ADKAR reinforcement 24–40 hrs | ATD: Technical training ops teams 6–8 hrs per cohort</t>
  </si>
  <si>
    <t>AI Collaboration Skills &amp; Predictive Ops Adoption</t>
  </si>
  <si>
    <t>Training Ops Teams to Work Alongside AI: When to Override, How to Read Predictions</t>
  </si>
  <si>
    <t>• Deliver 'Working with AI' skills programme for ops engineers
• Train on: reading anomaly scores, understanding confidence intervals, when to override AI
• Train on using the ops assistant (natural language queries, feedback rating)
• Brief engineering managers on AI-augmented team performance metrics
• Conduct manager awareness sessions: how to set targets for AI-assisted teams
• Deliver Phase 3 change newsletter: predictive alert success stories</t>
  </si>
  <si>
    <t>Predictive alert model live, ops assistant beta live, manager briefing templates, success case studies</t>
  </si>
  <si>
    <t>'Working with AI' training programme delivered, manager briefings complete, ops assistant adoption &gt;60%</t>
  </si>
  <si>
    <t>60–100 hrs (Medium)</t>
  </si>
  <si>
    <t>LMS, Microsoft Teams, Ops assistant (W6), Confluence for training materials</t>
  </si>
  <si>
    <t>Predictive model live and stable
Ops assistant beta available to team</t>
  </si>
  <si>
    <t>'Working with AI' training delivered to 100% of ops engineers
Ops assistant adoption &gt;60% (measured by query volume)</t>
  </si>
  <si>
    <t>Ops leads certify their team's AI collaboration competency</t>
  </si>
  <si>
    <t>Training completion in LMS
Ops assistant adoption metrics reported to SteerCo</t>
  </si>
  <si>
    <t>Without AI collaboration skills, ops teams override AI predictions too frequently — benefit realisation drops 30–40%</t>
  </si>
  <si>
    <t>MIT Sloan: Human-AI teaming skills 2023 | Google: AI literacy for IT ops teams | ATD: 8 hrs/cohort</t>
  </si>
  <si>
    <t>Autonomous Ops Cultural Transformation</t>
  </si>
  <si>
    <t>'Humans Supervise AI' Transition, Executive AI Literacy &amp; Long-Term Capability Build</t>
  </si>
  <si>
    <t>• Deliver 'AI Supervisor' role definition and skills framework for ops engineers
• Run executive AI literacy programme (CXO team: 4-hr workshop)
• Define new performance metrics for ops engineers in autonomous era
• Build long-term AIOps capability programme (ongoing, not a one-time training)
• Conduct annual change health check (ADKAR Level 5 — results in the organisation)
• Celebrate and communicate wins: publish year-1 benefit realisation report internally</t>
  </si>
  <si>
    <t>Autonomous ops live, performance management frameworks, ADKAR Level 5 assessment, executive calendar</t>
  </si>
  <si>
    <t>AI Supervisor role framework, executive AI literacy delivered, new performance metrics live, capability programme running</t>
  </si>
  <si>
    <t>Change Manager (SFIA L5), L&amp;D Specialist (SFIA L4), HR Business Partner</t>
  </si>
  <si>
    <t>68–110 hrs (Medium) — peak phase culturally</t>
  </si>
  <si>
    <t>Prosci ADKAR Level 5 assessment, LMS, Microsoft Teams, internal communications platform</t>
  </si>
  <si>
    <t>Autonomous ops live for &gt;60 days
Executive sponsor engaged for AI literacy session</t>
  </si>
  <si>
    <t>100% of ops team understands 'AI Supervisor' role
Executive team completed AI literacy
New performance metrics agreed with HR</t>
  </si>
  <si>
    <t>CHRO and CTO jointly approve new ops engineer performance framework</t>
  </si>
  <si>
    <t>HR system updated with new role frameworks
SteerCo report: ADKAR Level 5 survey results</t>
  </si>
  <si>
    <t>Without cultural transformation, autonomous ops adoption stalls at 50% — the biggest non-technical programme risk</t>
  </si>
  <si>
    <t>Prosci: ADKAR Level 5 sustainment | McKinsey: Org transformation for AI 2023 | Kotter: 8-step change model</t>
  </si>
  <si>
    <t xml:space="preserve">  W10 — Programme Management</t>
  </si>
  <si>
    <t>Programme Setup &amp; Governance Framework</t>
  </si>
  <si>
    <t>PMO Setup, RAID Log, SteerCo Cadence &amp; SOW Baseline</t>
  </si>
  <si>
    <t>• Establish programme governance structure (SteerCo, delivery team, customer team)
• Set up RAID log (Risks, Assumptions, Issues, Dependencies)
• Configure project tracking tool (JIRA/Azure DevOps) with AIOps workstream structure
• Agree and publish SteerCo meeting cadence and agenda template
• Complete SOW baseline with signed scope, assumptions and exclusions
• Establish programme communication cadence (weekly status, bi-weekly ops review)</t>
  </si>
  <si>
    <t>Programme charter, SOW, stakeholder list, tool access for project tracking</t>
  </si>
  <si>
    <t>Governance framework document, RAID log live, JIRA project configured, SteerCo dates confirmed, SOW signed</t>
  </si>
  <si>
    <t>Delivery Lead (SFIA L6), PMO Analyst (SFIA L4)</t>
  </si>
  <si>
    <t>JIRA / Azure DevOps, Confluence for documentation, Microsoft Teams for comms, Excel RAID log</t>
  </si>
  <si>
    <t>Executive sponsors confirmed on both sides
SOW drafted and reviewed
Project tracking tool provisioned</t>
  </si>
  <si>
    <t>Governance framework agreed by both parties
First SteerCo held
RAID log active with 5+ items</t>
  </si>
  <si>
    <t>Both Customer IT Director and Vendor Delivery Director sign governance framework</t>
  </si>
  <si>
    <t>Programme governance stored in ITSM as knowledge articles
Risks logged as problem records</t>
  </si>
  <si>
    <t>Without programme governance, delivery accountability is unclear — scope creep and disputes are inevitable</t>
  </si>
  <si>
    <t>PMI PMBOK v7: Programme governance | PRINCE2: Stage boundaries and governance | AXELOS MSP</t>
  </si>
  <si>
    <t>Core Delivery Governance</t>
  </si>
  <si>
    <t>Weekly SteerCo Reporting, KPI Dashboard &amp; Gainshare Tracking Initiation</t>
  </si>
  <si>
    <t>• Produce weekly programme status report (RAG, milestones, risks, issues)
• Build and maintain AIOps KPI dashboard (live feed from monitoring platform)
• Initiate gainshare tracking: establish first monthly benefit report against signed baseline
• Manage change control process for any scope changes (formal RFC to SteerCo)
• Conduct Phase 2 midpoint health check (schedule, budget, team capacity, quality)
• Track vendor and customer resource availability against plan</t>
  </si>
  <si>
    <t>Programme plan, KPI framework, baseline metrics (signed in Phase 1), change control process</t>
  </si>
  <si>
    <t>Weekly status reports issued, KPI dashboard live, first benefit report produced, change log maintained</t>
  </si>
  <si>
    <t>60–100 hrs (Medium) — ongoing across 4-month phase</t>
  </si>
  <si>
    <t>JIRA, Confluence, Microsoft Teams, PowerBI for KPI dashboard, Excel for benefit tracking</t>
  </si>
  <si>
    <t>Phase 1 baseline metrics signed
KPI framework agreed
Change control process documented</t>
  </si>
  <si>
    <t>Weekly status reports issued on time
First benefit report accepted by customer
Change log with 0 uncontrolled scope changes</t>
  </si>
  <si>
    <t>Customer IT Director reviews and approves each monthly benefit report</t>
  </si>
  <si>
    <t>All scope changes managed as formal RFCs
Benefit reports stored in ITSM knowledge base</t>
  </si>
  <si>
    <t>Without benefit tracking from Phase 2, the gainshare calculation in Phase 3–4 will be disputed</t>
  </si>
  <si>
    <t>PMI: Earned Value Management | TSIA: AMS programme governance best practice | Prosci: Change control</t>
  </si>
  <si>
    <t>Multi-Workstream Dependency &amp; ML Governance</t>
  </si>
  <si>
    <t>Dependency Management, Gainshare Attribution &amp; Risk Escalation</t>
  </si>
  <si>
    <t>• Manage complex multi-workstream dependencies (W2→W3→W5→W6 chain)
• Chair monthly gainshare attribution review with finance and customer
• Escalate and resolve cross-workstream risks (data quality gates, model approvals)
• Track ML model governance compliance (ADRs, model change log)
• Produce Phase 3 midpoint review pack for SteerCo
• Manage third-party tool vendor relationships (licences, support SLAs)</t>
  </si>
  <si>
    <t>Cross-workstream dependency register, gainshare calculation methodology, ML governance policy</t>
  </si>
  <si>
    <t>Dependency map maintained, gainshare attribution accepted by customer, Phase 3 SteerCo pack delivered</t>
  </si>
  <si>
    <t>72–120 hrs (Medium) — most complex PMO phase</t>
  </si>
  <si>
    <t>JIRA dependency tracking, Confluence for SteerCo packs, Excel for gainshare calculation, risk heat map tools</t>
  </si>
  <si>
    <t>Phase 2 complete and Phase 3 backlog fully scoped
Gainshare methodology agreed</t>
  </si>
  <si>
    <t>All cross-workstream dependencies resolved or mitigated
Gainshare calculation accepted by both parties
Phase 3 gate review passed</t>
  </si>
  <si>
    <t>SteerCo approves Phase 3 gate review pack including benefit tracking to date</t>
  </si>
  <si>
    <t>Escalated risks logged as problem records
Gainshare calculations stored and version-controlled</t>
  </si>
  <si>
    <t>Ungoverned Phase 3 is the most common AIOps programme failure point — 6 interdependent workstreams running in parallel</t>
  </si>
  <si>
    <t>PMI: Complex programme dependency management | Gartner: AIOps programme governance 2023</t>
  </si>
  <si>
    <t>Steady-State Governance &amp; Contract Review</t>
  </si>
  <si>
    <t>Annual Review, Model Recalibration Governance &amp; Renewal Planning</t>
  </si>
  <si>
    <t>• Facilitate annual contract review (gainshare model recalibration, scope renewal)
• Produce Year 1 benefit realisation report (vs signed baseline — the commercial anchor)
• Govern model recalibration process (annual review of KPI targets and multipliers)
• Facilitate transition to steady-state operating model (reduced delivery PMO, increased ops PMO)
• Plan programme closure or renewal: produce options paper for Year 2
• Conduct lessons learned and programme retrospective</t>
  </si>
  <si>
    <t>Full programme benefit data, contract terms, model recalibration framework, Year 2 roadmap options</t>
  </si>
  <si>
    <t>Annual contract review pack, Year 1 benefit realisation report, renewed or closed contract, lessons learned report</t>
  </si>
  <si>
    <t>Delivery Lead (SFIA L6), Account Director, PMO Analyst (SFIA L4)</t>
  </si>
  <si>
    <t>75–120 hrs (Medium) — concentrated in annual review period</t>
  </si>
  <si>
    <t>Confluence for reports, Excel for benefit modelling, ServiceNow for programme closure activities</t>
  </si>
  <si>
    <t>12 months of production AIOps data
Annual review date in contract confirmed</t>
  </si>
  <si>
    <t>Annual review completed and contract position agreed
Year 1 benefit report accepted by customer CIO</t>
  </si>
  <si>
    <t>Customer CIO and Vendor Account Director jointly accept Year 1 benefit report</t>
  </si>
  <si>
    <t>Contract changes managed as formal amendments
Lessons learned stored in ITSM knowledge base</t>
  </si>
  <si>
    <t>Without annual recalibration, gainshare models become stale and commercial disputes escalate in Year 2</t>
  </si>
  <si>
    <t>PMI: Programme closure and renewal | TSIA: AMS annual review best practice | Gartner: AIOps ROI measurement</t>
  </si>
  <si>
    <t xml:space="preserve">  TOTAL ACTIVITIES DOCUMENTED: 43  |  10 Workstreams × 4 Phases  |  Each activity includes: Input → Output → Role → Effort → Tools → Entry/Exit Criteria → Quality Gate → ITSM Touchpoint → Risk → Industry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</si>
</sst>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0\x"/>
    <numFmt numFmtId="167" formatCode="0.0"/>
    <numFmt numFmtId="168" formatCode="0.0%"/>
    <numFmt numFmtId="169" formatCode="#,##0.0"/>
    <numFmt numFmtId="170" formatCode="\$#,##0;&quot;($&quot;#,##0\);\-"/>
  </numFmts>
  <fonts count="93" x14ac:knownFonts="1">
    <font>
      <sz val="11"/>
      <color theme="1"/>
      <name val="Calibri"/>
      <family val="2"/>
      <charset val="1"/>
    </font>
    <font>
      <b/>
      <sz val="28"/>
      <color rgb="FFFFFFFF"/>
      <name val="Arial"/>
      <charset val="1"/>
    </font>
    <font>
      <i/>
      <sz val="12"/>
      <color rgb="FF1F3864"/>
      <name val="Arial"/>
      <charset val="1"/>
    </font>
    <font>
      <b/>
      <sz val="11"/>
      <color rgb="FF1F3864"/>
      <name val="Arial"/>
      <charset val="1"/>
    </font>
    <font>
      <b/>
      <sz val="11"/>
      <color rgb="FFFFFFFF"/>
      <name val="Arial"/>
      <charset val="1"/>
    </font>
    <font>
      <b/>
      <sz val="10"/>
      <color rgb="FFFFFFFF"/>
      <name val="Arial"/>
      <charset val="1"/>
    </font>
    <font>
      <sz val="10"/>
      <color rgb="FF000000"/>
      <name val="Arial"/>
      <charset val="1"/>
    </font>
    <font>
      <b/>
      <sz val="12"/>
      <color rgb="FFFFFFFF"/>
      <name val="Arial"/>
      <charset val="1"/>
    </font>
    <font>
      <b/>
      <sz val="10"/>
      <color rgb="FF1F3864"/>
      <name val="Arial"/>
      <charset val="1"/>
    </font>
    <font>
      <sz val="10"/>
      <name val="Arial"/>
      <charset val="1"/>
    </font>
    <font>
      <b/>
      <sz val="16"/>
      <color rgb="FFFFFFFF"/>
      <name val="Arial"/>
      <charset val="1"/>
    </font>
    <font>
      <i/>
      <sz val="10"/>
      <color rgb="FF595959"/>
      <name val="Arial"/>
      <charset val="1"/>
    </font>
    <font>
      <sz val="9"/>
      <color rgb="FF2E75B6"/>
      <name val="Arial"/>
      <charset val="1"/>
    </font>
    <font>
      <sz val="9"/>
      <color rgb="FF375623"/>
      <name val="Arial"/>
      <charset val="1"/>
    </font>
    <font>
      <sz val="9"/>
      <color rgb="FFC55A11"/>
      <name val="Arial"/>
      <charset val="1"/>
    </font>
    <font>
      <sz val="9"/>
      <color rgb="FF7030A0"/>
      <name val="Arial"/>
      <charset val="1"/>
    </font>
    <font>
      <b/>
      <sz val="10"/>
      <color rgb="FFC00000"/>
      <name val="Arial"/>
      <charset val="1"/>
    </font>
    <font>
      <b/>
      <sz val="10"/>
      <color rgb="FFC55A11"/>
      <name val="Arial"/>
      <charset val="1"/>
    </font>
    <font>
      <b/>
      <sz val="10"/>
      <color rgb="FF7F6000"/>
      <name val="Arial"/>
      <charset val="1"/>
    </font>
    <font>
      <b/>
      <sz val="10"/>
      <color rgb="FF375623"/>
      <name val="Arial"/>
      <charset val="1"/>
    </font>
    <font>
      <b/>
      <sz val="10"/>
      <color rgb="FF1E4620"/>
      <name val="Arial"/>
      <charset val="1"/>
    </font>
    <font>
      <b/>
      <sz val="10"/>
      <color rgb="FF2E75B6"/>
      <name val="Arial"/>
      <charset val="1"/>
    </font>
    <font>
      <b/>
      <sz val="10"/>
      <color rgb="FF000000"/>
      <name val="Arial"/>
      <charset val="1"/>
    </font>
    <font>
      <sz val="9"/>
      <color rgb="FFC00000"/>
      <name val="Arial"/>
      <charset val="1"/>
    </font>
    <font>
      <sz val="9"/>
      <color rgb="FF7F6000"/>
      <name val="Arial"/>
      <charset val="1"/>
    </font>
    <font>
      <sz val="9"/>
      <color rgb="FF1E4620"/>
      <name val="Arial"/>
      <charset val="1"/>
    </font>
    <font>
      <b/>
      <sz val="12"/>
      <color rgb="FF0000FF"/>
      <name val="Arial"/>
      <charset val="1"/>
    </font>
    <font>
      <i/>
      <sz val="9"/>
      <color rgb="FF595959"/>
      <name val="Arial"/>
      <charset val="1"/>
    </font>
    <font>
      <sz val="10"/>
      <color rgb="FF2E75B6"/>
      <name val="Arial"/>
      <charset val="1"/>
    </font>
    <font>
      <sz val="10"/>
      <color rgb="FF375623"/>
      <name val="Arial"/>
      <charset val="1"/>
    </font>
    <font>
      <sz val="10"/>
      <color rgb="FFC55A11"/>
      <name val="Arial"/>
      <charset val="1"/>
    </font>
    <font>
      <b/>
      <sz val="10"/>
      <color rgb="FF7030A0"/>
      <name val="Arial"/>
      <charset val="1"/>
    </font>
    <font>
      <sz val="10"/>
      <color rgb="FF7030A0"/>
      <name val="Arial"/>
      <charset val="1"/>
    </font>
    <font>
      <b/>
      <sz val="10"/>
      <color rgb="FF1F5C6B"/>
      <name val="Arial"/>
      <charset val="1"/>
    </font>
    <font>
      <sz val="10"/>
      <color rgb="FF1F5C6B"/>
      <name val="Arial"/>
      <charset val="1"/>
    </font>
    <font>
      <i/>
      <sz val="9"/>
      <color rgb="FF1F5C6B"/>
      <name val="Arial"/>
      <charset val="1"/>
    </font>
    <font>
      <b/>
      <sz val="9"/>
      <color rgb="FFC00000"/>
      <name val="Arial"/>
      <charset val="1"/>
    </font>
    <font>
      <b/>
      <sz val="9"/>
      <color rgb="FFC55A11"/>
      <name val="Arial"/>
      <charset val="1"/>
    </font>
    <font>
      <b/>
      <sz val="9"/>
      <color rgb="FF7F6000"/>
      <name val="Arial"/>
      <charset val="1"/>
    </font>
    <font>
      <b/>
      <sz val="9"/>
      <color rgb="FF375623"/>
      <name val="Arial"/>
      <charset val="1"/>
    </font>
    <font>
      <b/>
      <sz val="9"/>
      <color rgb="FF1E4620"/>
      <name val="Arial"/>
      <charset val="1"/>
    </font>
    <font>
      <sz val="9"/>
      <color rgb="FF000000"/>
      <name val="Arial"/>
      <charset val="1"/>
    </font>
    <font>
      <b/>
      <sz val="11"/>
      <color rgb="FF0000FF"/>
      <name val="Arial"/>
      <charset val="1"/>
    </font>
    <font>
      <b/>
      <sz val="11"/>
      <name val="Arial"/>
      <charset val="1"/>
    </font>
    <font>
      <sz val="10"/>
      <color rgb="FF0000FF"/>
      <name val="Arial"/>
      <charset val="1"/>
    </font>
    <font>
      <b/>
      <sz val="10"/>
      <name val="Arial"/>
      <charset val="1"/>
    </font>
    <font>
      <i/>
      <sz val="10"/>
      <color rgb="FF1F3864"/>
      <name val="Arial"/>
      <charset val="1"/>
    </font>
    <font>
      <i/>
      <sz val="9"/>
      <color rgb="FF7030A0"/>
      <name val="Arial"/>
      <charset val="1"/>
    </font>
    <font>
      <b/>
      <sz val="11"/>
      <color rgb="FF000000"/>
      <name val="Arial"/>
      <charset val="1"/>
    </font>
    <font>
      <b/>
      <sz val="14"/>
      <color rgb="FF1F3864"/>
      <name val="Arial"/>
      <charset val="1"/>
    </font>
    <font>
      <b/>
      <sz val="12"/>
      <color rgb="FF1F3864"/>
      <name val="Arial"/>
      <charset val="1"/>
    </font>
    <font>
      <b/>
      <sz val="14"/>
      <color rgb="FFFFFFFF"/>
      <name val="Arial"/>
      <charset val="1"/>
    </font>
    <font>
      <b/>
      <i/>
      <sz val="9"/>
      <color rgb="FFC55A11"/>
      <name val="Arial"/>
      <charset val="1"/>
    </font>
    <font>
      <b/>
      <sz val="9"/>
      <color rgb="FF000000"/>
      <name val="Arial"/>
      <charset val="1"/>
    </font>
    <font>
      <i/>
      <sz val="9"/>
      <color rgb="FF1F3864"/>
      <name val="Arial"/>
      <charset val="1"/>
    </font>
    <font>
      <b/>
      <sz val="9"/>
      <color rgb="FFFFFFFF"/>
      <name val="Arial"/>
      <charset val="1"/>
    </font>
    <font>
      <i/>
      <sz val="9"/>
      <color rgb="FF000000"/>
      <name val="Arial"/>
      <charset val="1"/>
    </font>
    <font>
      <b/>
      <sz val="11"/>
      <color rgb="FFB35A00"/>
      <name val="Arial"/>
      <charset val="1"/>
    </font>
    <font>
      <b/>
      <sz val="9"/>
      <color rgb="FF7030A0"/>
      <name val="Arial"/>
      <charset val="1"/>
    </font>
    <font>
      <b/>
      <sz val="10"/>
      <color rgb="FF0000FF"/>
      <name val="Arial"/>
      <charset val="1"/>
    </font>
    <font>
      <sz val="10"/>
      <color rgb="FFC00000"/>
      <name val="Arial"/>
      <charset val="1"/>
    </font>
    <font>
      <sz val="9"/>
      <color rgb="FF595959"/>
      <name val="Arial"/>
      <charset val="1"/>
    </font>
    <font>
      <b/>
      <sz val="9"/>
      <color rgb="FF1F5C6B"/>
      <name val="Arial"/>
      <charset val="1"/>
    </font>
    <font>
      <b/>
      <sz val="11"/>
      <color rgb="FFC55A11"/>
      <name val="Arial"/>
      <charset val="1"/>
    </font>
    <font>
      <b/>
      <sz val="11"/>
      <color rgb="FF2E75B6"/>
      <name val="Arial"/>
      <charset val="1"/>
    </font>
    <font>
      <b/>
      <sz val="11"/>
      <color rgb="FF595959"/>
      <name val="Arial"/>
      <charset val="1"/>
    </font>
    <font>
      <i/>
      <sz val="9"/>
      <name val="Arial"/>
      <charset val="1"/>
    </font>
    <font>
      <i/>
      <sz val="9"/>
      <color rgb="FFFFFFFF"/>
      <name val="Arial"/>
      <charset val="1"/>
    </font>
    <font>
      <b/>
      <sz val="14"/>
      <color rgb="FF375623"/>
      <name val="Arial"/>
      <charset val="1"/>
    </font>
    <font>
      <b/>
      <sz val="14"/>
      <color rgb="FFC00000"/>
      <name val="Arial"/>
      <charset val="1"/>
    </font>
    <font>
      <b/>
      <sz val="14"/>
      <color rgb="FF1F5C6B"/>
      <name val="Arial"/>
      <charset val="1"/>
    </font>
    <font>
      <b/>
      <sz val="14"/>
      <color rgb="FFC55A11"/>
      <name val="Arial"/>
      <charset val="1"/>
    </font>
    <font>
      <b/>
      <sz val="14"/>
      <color rgb="FF7030A0"/>
      <name val="Arial"/>
      <charset val="1"/>
    </font>
    <font>
      <sz val="9"/>
      <color rgb="FF1F3864"/>
      <name val="Arial"/>
      <charset val="1"/>
    </font>
    <font>
      <sz val="9"/>
      <color rgb="FF1F5C6B"/>
      <name val="Arial"/>
      <charset val="1"/>
    </font>
    <font>
      <sz val="9"/>
      <name val="Arial"/>
      <charset val="1"/>
    </font>
    <font>
      <b/>
      <sz val="13"/>
      <color rgb="FF1F5C6B"/>
      <name val="Arial"/>
      <charset val="1"/>
    </font>
    <font>
      <b/>
      <sz val="13"/>
      <color rgb="FF2E75B6"/>
      <name val="Arial"/>
      <charset val="1"/>
    </font>
    <font>
      <b/>
      <sz val="13"/>
      <color rgb="FF7030A0"/>
      <name val="Arial"/>
      <charset val="1"/>
    </font>
    <font>
      <b/>
      <sz val="13"/>
      <color rgb="FF375623"/>
      <name val="Arial"/>
      <charset val="1"/>
    </font>
    <font>
      <b/>
      <sz val="13"/>
      <color rgb="FF1F3864"/>
      <name val="Arial"/>
      <charset val="1"/>
    </font>
    <font>
      <b/>
      <sz val="13"/>
      <color rgb="FFC55A11"/>
      <name val="Arial"/>
      <charset val="1"/>
    </font>
    <font>
      <i/>
      <sz val="8"/>
      <color rgb="FF595959"/>
      <name val="Arial"/>
      <charset val="1"/>
    </font>
    <font>
      <b/>
      <sz val="12"/>
      <color rgb="FF375623"/>
      <name val="Arial"/>
      <charset val="1"/>
    </font>
    <font>
      <b/>
      <sz val="12"/>
      <color rgb="FF595959"/>
      <name val="Arial"/>
      <charset val="1"/>
    </font>
    <font>
      <b/>
      <sz val="13"/>
      <color rgb="FFFFFFFF"/>
      <name val="Arial"/>
      <charset val="1"/>
    </font>
    <font>
      <b/>
      <sz val="9"/>
      <color rgb="FF2E75B6"/>
      <name val="Arial"/>
      <charset val="1"/>
    </font>
    <font>
      <sz val="9"/>
      <color rgb="FF0D3B6E"/>
      <name val="Arial"/>
      <charset val="1"/>
    </font>
    <font>
      <b/>
      <sz val="9"/>
      <color rgb="FF1E3A1E"/>
      <name val="Arial"/>
      <charset val="1"/>
    </font>
    <font>
      <i/>
      <sz val="9"/>
      <color rgb="FF375623"/>
      <name val="Arial"/>
      <charset val="1"/>
    </font>
    <font>
      <b/>
      <sz val="9"/>
      <color rgb="FFE07000"/>
      <name val="Arial"/>
      <charset val="1"/>
    </font>
    <font>
      <b/>
      <sz val="9"/>
      <color rgb="FF1F3864"/>
      <name val="Arial"/>
      <charset val="1"/>
    </font>
    <font>
      <b/>
      <sz val="9"/>
      <color rgb="FF595959"/>
      <name val="Arial"/>
      <charset val="1"/>
    </font>
  </fonts>
  <fills count="31">
    <fill>
      <patternFill patternType="none"/>
    </fill>
    <fill>
      <patternFill patternType="gray125"/>
    </fill>
    <fill>
      <patternFill patternType="solid">
        <fgColor rgb="FF1F3864"/>
        <bgColor rgb="FF0D3B6E"/>
      </patternFill>
    </fill>
    <fill>
      <patternFill patternType="solid">
        <fgColor rgb="FFDEEAF1"/>
        <bgColor rgb="FFDDEBF7"/>
      </patternFill>
    </fill>
    <fill>
      <patternFill patternType="solid">
        <fgColor rgb="FF2E75B6"/>
        <bgColor rgb="FF0066CC"/>
      </patternFill>
    </fill>
    <fill>
      <patternFill patternType="solid">
        <fgColor rgb="FFF8F8F8"/>
        <bgColor rgb="FFF5F5F5"/>
      </patternFill>
    </fill>
    <fill>
      <patternFill patternType="solid">
        <fgColor rgb="FF1F5C6B"/>
        <bgColor rgb="FF0D3B6E"/>
      </patternFill>
    </fill>
    <fill>
      <patternFill patternType="solid">
        <fgColor rgb="FF7030A0"/>
        <bgColor rgb="FF800080"/>
      </patternFill>
    </fill>
    <fill>
      <patternFill patternType="solid">
        <fgColor rgb="FFC55A11"/>
        <bgColor rgb="FFB35A00"/>
      </patternFill>
    </fill>
    <fill>
      <patternFill patternType="solid">
        <fgColor rgb="FFFFFFFF"/>
        <bgColor rgb="FFF8F8F8"/>
      </patternFill>
    </fill>
    <fill>
      <patternFill patternType="solid">
        <fgColor rgb="FF375623"/>
        <bgColor rgb="FF1E4620"/>
      </patternFill>
    </fill>
    <fill>
      <patternFill patternType="solid">
        <fgColor rgb="FFC00000"/>
        <bgColor rgb="FFFF0000"/>
      </patternFill>
    </fill>
    <fill>
      <patternFill patternType="solid">
        <fgColor rgb="FFDDEBF7"/>
        <bgColor rgb="FFDEEAF1"/>
      </patternFill>
    </fill>
    <fill>
      <patternFill patternType="solid">
        <fgColor rgb="FFF2F2F2"/>
        <bgColor rgb="FFF5F5F5"/>
      </patternFill>
    </fill>
    <fill>
      <patternFill patternType="solid">
        <fgColor rgb="FFE2EFDA"/>
        <bgColor rgb="FFDEEAF1"/>
      </patternFill>
    </fill>
    <fill>
      <patternFill patternType="solid">
        <fgColor rgb="FFFCE4D6"/>
        <bgColor rgb="FFFDE9D9"/>
      </patternFill>
    </fill>
    <fill>
      <patternFill patternType="solid">
        <fgColor rgb="FFEAD1F9"/>
        <bgColor rgb="FFD9D9D9"/>
      </patternFill>
    </fill>
    <fill>
      <patternFill patternType="solid">
        <fgColor rgb="FFFFDEDE"/>
        <bgColor rgb="FFFCE4D6"/>
      </patternFill>
    </fill>
    <fill>
      <patternFill patternType="solid">
        <fgColor rgb="FFFFFACD"/>
        <bgColor rgb="FFFFF2CC"/>
      </patternFill>
    </fill>
    <fill>
      <patternFill patternType="solid">
        <fgColor rgb="FFC6EFCE"/>
        <bgColor rgb="FFE2EFDA"/>
      </patternFill>
    </fill>
    <fill>
      <patternFill patternType="solid">
        <fgColor rgb="FFBDD7EE"/>
        <bgColor rgb="FFD9D9D9"/>
      </patternFill>
    </fill>
    <fill>
      <patternFill patternType="solid">
        <fgColor rgb="FFE07000"/>
        <bgColor rgb="FFC55A11"/>
      </patternFill>
    </fill>
    <fill>
      <patternFill patternType="solid">
        <fgColor rgb="FF595959"/>
        <bgColor rgb="FF375623"/>
      </patternFill>
    </fill>
    <fill>
      <patternFill patternType="solid">
        <fgColor rgb="FFFFF2CC"/>
        <bgColor rgb="FFFFFACD"/>
      </patternFill>
    </fill>
    <fill>
      <patternFill patternType="solid">
        <fgColor rgb="FFFFD0A0"/>
        <bgColor rgb="FFFFDEDE"/>
      </patternFill>
    </fill>
    <fill>
      <patternFill patternType="solid">
        <fgColor rgb="FFFFC000"/>
        <bgColor rgb="FFFFFF00"/>
      </patternFill>
    </fill>
    <fill>
      <patternFill patternType="solid">
        <fgColor rgb="FFFF0000"/>
        <bgColor rgb="FFC00000"/>
      </patternFill>
    </fill>
    <fill>
      <patternFill patternType="solid">
        <fgColor rgb="FFFFFF00"/>
        <bgColor rgb="FFFFC000"/>
      </patternFill>
    </fill>
    <fill>
      <patternFill patternType="solid">
        <fgColor rgb="FF92D050"/>
        <bgColor rgb="FFBFBFBF"/>
      </patternFill>
    </fill>
    <fill>
      <patternFill patternType="solid">
        <fgColor rgb="FFF5F5F5"/>
        <bgColor rgb="FFF8F8F8"/>
      </patternFill>
    </fill>
    <fill>
      <patternFill patternType="solid">
        <fgColor rgb="FFFDE9D9"/>
        <bgColor rgb="FFFCE4D6"/>
      </patternFill>
    </fill>
  </fills>
  <borders count="30">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rgb="FFBFBFBF"/>
      </left>
      <right style="medium">
        <color rgb="FFBFBFBF"/>
      </right>
      <top style="medium">
        <color rgb="FFBFBFBF"/>
      </top>
      <bottom style="medium">
        <color rgb="FFBFBFBF"/>
      </bottom>
      <diagonal/>
    </border>
    <border>
      <left style="thin">
        <color rgb="FF2E75B6"/>
      </left>
      <right/>
      <top style="thin">
        <color rgb="FF2E75B6"/>
      </top>
      <bottom style="thin">
        <color rgb="FF2E75B6"/>
      </bottom>
      <diagonal/>
    </border>
    <border>
      <left style="thin">
        <color rgb="FF375623"/>
      </left>
      <right/>
      <top style="thin">
        <color rgb="FF375623"/>
      </top>
      <bottom style="thin">
        <color rgb="FF375623"/>
      </bottom>
      <diagonal/>
    </border>
    <border>
      <left style="thin">
        <color rgb="FFC55A11"/>
      </left>
      <right/>
      <top style="thin">
        <color rgb="FFC55A11"/>
      </top>
      <bottom style="thin">
        <color rgb="FFC55A11"/>
      </bottom>
      <diagonal/>
    </border>
    <border>
      <left style="thin">
        <color rgb="FF7030A0"/>
      </left>
      <right/>
      <top style="thin">
        <color rgb="FF7030A0"/>
      </top>
      <bottom style="thin">
        <color rgb="FF7030A0"/>
      </bottom>
      <diagonal/>
    </border>
    <border>
      <left style="medium">
        <color rgb="FFBFBFBF"/>
      </left>
      <right/>
      <top style="medium">
        <color rgb="FFBFBFBF"/>
      </top>
      <bottom style="medium">
        <color rgb="FFBFBFBF"/>
      </bottom>
      <diagonal/>
    </border>
    <border>
      <left style="medium">
        <color rgb="FF2E75B6"/>
      </left>
      <right style="medium">
        <color rgb="FF2E75B6"/>
      </right>
      <top style="medium">
        <color rgb="FF2E75B6"/>
      </top>
      <bottom style="medium">
        <color rgb="FF2E75B6"/>
      </bottom>
      <diagonal/>
    </border>
    <border>
      <left style="thin">
        <color rgb="FF1F5C6B"/>
      </left>
      <right/>
      <top style="thin">
        <color rgb="FF1F5C6B"/>
      </top>
      <bottom style="thin">
        <color rgb="FF1F5C6B"/>
      </bottom>
      <diagonal/>
    </border>
    <border>
      <left style="thin">
        <color rgb="FFC00000"/>
      </left>
      <right/>
      <top style="thin">
        <color rgb="FFC00000"/>
      </top>
      <bottom style="thin">
        <color rgb="FFC00000"/>
      </bottom>
      <diagonal/>
    </border>
    <border>
      <left style="thin">
        <color rgb="FF7F6000"/>
      </left>
      <right/>
      <top style="thin">
        <color rgb="FF7F6000"/>
      </top>
      <bottom style="thin">
        <color rgb="FF7F6000"/>
      </bottom>
      <diagonal/>
    </border>
    <border>
      <left style="thin">
        <color rgb="FF1E4620"/>
      </left>
      <right/>
      <top style="thin">
        <color rgb="FF1E4620"/>
      </top>
      <bottom style="thin">
        <color rgb="FF1E462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FFFFFF"/>
      </left>
      <right/>
      <top style="medium">
        <color rgb="FFFFFFFF"/>
      </top>
      <bottom style="medium">
        <color rgb="FFFFFFFF"/>
      </bottom>
      <diagonal/>
    </border>
    <border>
      <left style="thin">
        <color rgb="FF2E75B6"/>
      </left>
      <right style="thin">
        <color rgb="FF2E75B6"/>
      </right>
      <top style="thin">
        <color rgb="FF2E75B6"/>
      </top>
      <bottom style="thin">
        <color rgb="FF2E75B6"/>
      </bottom>
      <diagonal/>
    </border>
    <border>
      <left style="thin">
        <color rgb="FF375623"/>
      </left>
      <right style="thin">
        <color rgb="FF375623"/>
      </right>
      <top style="thin">
        <color rgb="FF375623"/>
      </top>
      <bottom style="thin">
        <color rgb="FF375623"/>
      </bottom>
      <diagonal/>
    </border>
    <border>
      <left style="thin">
        <color rgb="FFC55A11"/>
      </left>
      <right style="thin">
        <color rgb="FFC55A11"/>
      </right>
      <top style="thin">
        <color rgb="FFC55A11"/>
      </top>
      <bottom style="thin">
        <color rgb="FFC55A11"/>
      </bottom>
      <diagonal/>
    </border>
    <border>
      <left style="thin">
        <color rgb="FFC00000"/>
      </left>
      <right style="thin">
        <color rgb="FFC00000"/>
      </right>
      <top style="thin">
        <color rgb="FFC00000"/>
      </top>
      <bottom style="thin">
        <color rgb="FFC00000"/>
      </bottom>
      <diagonal/>
    </border>
    <border>
      <left style="thin">
        <color rgb="FF7030A0"/>
      </left>
      <right style="thin">
        <color rgb="FF7030A0"/>
      </right>
      <top style="thin">
        <color rgb="FF7030A0"/>
      </top>
      <bottom style="thin">
        <color rgb="FF7030A0"/>
      </bottom>
      <diagonal/>
    </border>
    <border>
      <left style="medium">
        <color rgb="FF1F5C6B"/>
      </left>
      <right style="medium">
        <color rgb="FF1F5C6B"/>
      </right>
      <top style="medium">
        <color rgb="FF1F5C6B"/>
      </top>
      <bottom style="medium">
        <color rgb="FF1F5C6B"/>
      </bottom>
      <diagonal/>
    </border>
    <border>
      <left style="medium">
        <color rgb="FF7030A0"/>
      </left>
      <right style="medium">
        <color rgb="FF7030A0"/>
      </right>
      <top style="medium">
        <color rgb="FF7030A0"/>
      </top>
      <bottom style="medium">
        <color rgb="FF7030A0"/>
      </bottom>
      <diagonal/>
    </border>
    <border>
      <left style="medium">
        <color rgb="FF375623"/>
      </left>
      <right style="medium">
        <color rgb="FF375623"/>
      </right>
      <top style="medium">
        <color rgb="FF375623"/>
      </top>
      <bottom style="medium">
        <color rgb="FF375623"/>
      </bottom>
      <diagonal/>
    </border>
    <border>
      <left style="medium">
        <color rgb="FFC55A11"/>
      </left>
      <right style="medium">
        <color rgb="FFC55A11"/>
      </right>
      <top style="medium">
        <color rgb="FFC55A11"/>
      </top>
      <bottom style="medium">
        <color rgb="FFC55A11"/>
      </bottom>
      <diagonal/>
    </border>
    <border>
      <left style="medium">
        <color rgb="FFE07000"/>
      </left>
      <right style="medium">
        <color rgb="FFE07000"/>
      </right>
      <top style="medium">
        <color rgb="FFE07000"/>
      </top>
      <bottom style="medium">
        <color rgb="FFE07000"/>
      </bottom>
      <diagonal/>
    </border>
    <border>
      <left style="medium">
        <color rgb="FF1F3864"/>
      </left>
      <right style="medium">
        <color rgb="FF1F3864"/>
      </right>
      <top style="medium">
        <color rgb="FF1F3864"/>
      </top>
      <bottom style="medium">
        <color rgb="FF1F3864"/>
      </bottom>
      <diagonal/>
    </border>
    <border>
      <left style="medium">
        <color rgb="FFC00000"/>
      </left>
      <right style="medium">
        <color rgb="FFC00000"/>
      </right>
      <top style="medium">
        <color rgb="FFC00000"/>
      </top>
      <bottom style="medium">
        <color rgb="FFC00000"/>
      </bottom>
      <diagonal/>
    </border>
    <border>
      <left style="medium">
        <color rgb="FF595959"/>
      </left>
      <right style="medium">
        <color rgb="FF595959"/>
      </right>
      <top style="medium">
        <color rgb="FF595959"/>
      </top>
      <bottom style="medium">
        <color rgb="FF595959"/>
      </bottom>
      <diagonal/>
    </border>
  </borders>
  <cellStyleXfs count="1">
    <xf numFmtId="0" fontId="0" fillId="0" borderId="0"/>
  </cellStyleXfs>
  <cellXfs count="504">
    <xf numFmtId="0" fontId="0" fillId="0" borderId="0" xfId="0"/>
    <xf numFmtId="0" fontId="11" fillId="3" borderId="0" xfId="0" applyFont="1" applyFill="1" applyAlignment="1">
      <alignment horizontal="left" vertical="center"/>
    </xf>
    <xf numFmtId="0" fontId="10" fillId="2" borderId="3" xfId="0" applyFont="1" applyFill="1" applyBorder="1" applyAlignment="1">
      <alignment horizontal="center" vertical="center" wrapText="1"/>
    </xf>
    <xf numFmtId="0" fontId="6" fillId="12" borderId="2" xfId="0" applyFont="1" applyFill="1" applyBorder="1" applyAlignment="1">
      <alignment horizontal="left" vertical="center"/>
    </xf>
    <xf numFmtId="0" fontId="5" fillId="2" borderId="2" xfId="0" applyFont="1" applyFill="1" applyBorder="1" applyAlignment="1">
      <alignment horizontal="left" vertical="center"/>
    </xf>
    <xf numFmtId="0" fontId="5" fillId="11" borderId="2" xfId="0" applyFont="1" applyFill="1" applyBorder="1" applyAlignment="1">
      <alignment horizontal="left" vertical="center"/>
    </xf>
    <xf numFmtId="0" fontId="5" fillId="10" borderId="2" xfId="0" applyFont="1" applyFill="1" applyBorder="1" applyAlignment="1">
      <alignment horizontal="left" vertical="center"/>
    </xf>
    <xf numFmtId="0" fontId="5" fillId="8" borderId="2" xfId="0" applyFont="1" applyFill="1" applyBorder="1" applyAlignment="1">
      <alignment horizontal="left" vertical="center"/>
    </xf>
    <xf numFmtId="0" fontId="5" fillId="7" borderId="2" xfId="0" applyFont="1" applyFill="1" applyBorder="1" applyAlignment="1">
      <alignment horizontal="left" vertical="center"/>
    </xf>
    <xf numFmtId="0" fontId="6" fillId="9" borderId="2" xfId="0" applyFont="1" applyFill="1" applyBorder="1" applyAlignment="1">
      <alignment horizontal="left" vertical="center"/>
    </xf>
    <xf numFmtId="0" fontId="5" fillId="6" borderId="2" xfId="0" applyFont="1" applyFill="1" applyBorder="1" applyAlignment="1">
      <alignment horizontal="left" vertical="center"/>
    </xf>
    <xf numFmtId="0" fontId="6" fillId="5" borderId="2" xfId="0" applyFont="1" applyFill="1" applyBorder="1" applyAlignment="1">
      <alignment horizontal="left" vertical="center"/>
    </xf>
    <xf numFmtId="0" fontId="5" fillId="4" borderId="2" xfId="0" applyFont="1" applyFill="1" applyBorder="1" applyAlignment="1">
      <alignment horizontal="left" vertical="center"/>
    </xf>
    <xf numFmtId="0" fontId="2" fillId="3" borderId="0" xfId="0" applyFont="1" applyFill="1" applyAlignment="1">
      <alignment horizontal="center" vertical="center"/>
    </xf>
    <xf numFmtId="0" fontId="1" fillId="2" borderId="0" xfId="0" applyFont="1" applyFill="1" applyAlignment="1">
      <alignment horizontal="center" vertical="center" wrapText="1"/>
    </xf>
    <xf numFmtId="0" fontId="3" fillId="0" borderId="0" xfId="0" applyFont="1"/>
    <xf numFmtId="0" fontId="4" fillId="4" borderId="1" xfId="0" applyFont="1" applyFill="1" applyBorder="1" applyAlignment="1">
      <alignment horizontal="center" vertical="center"/>
    </xf>
    <xf numFmtId="0" fontId="7" fillId="6"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4" fillId="6" borderId="1" xfId="0" applyFont="1" applyFill="1" applyBorder="1" applyAlignment="1">
      <alignment horizontal="center" vertical="center"/>
    </xf>
    <xf numFmtId="0" fontId="6" fillId="9" borderId="2" xfId="0" applyFont="1" applyFill="1" applyBorder="1" applyAlignment="1">
      <alignment horizontal="left"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2" borderId="1" xfId="0" applyFont="1" applyFill="1" applyBorder="1" applyAlignment="1">
      <alignment horizontal="center" vertical="center"/>
    </xf>
    <xf numFmtId="0" fontId="8" fillId="13" borderId="1" xfId="0" applyFont="1" applyFill="1" applyBorder="1" applyAlignment="1">
      <alignment horizontal="left" vertical="center"/>
    </xf>
    <xf numFmtId="0" fontId="9" fillId="9" borderId="2" xfId="0" applyFont="1" applyFill="1" applyBorder="1" applyAlignment="1">
      <alignment horizontal="left" vertical="center"/>
    </xf>
    <xf numFmtId="0" fontId="8" fillId="9" borderId="1" xfId="0" applyFont="1" applyFill="1" applyBorder="1" applyAlignment="1">
      <alignment horizontal="left" vertical="center"/>
    </xf>
    <xf numFmtId="0" fontId="9" fillId="13" borderId="2" xfId="0" applyFont="1" applyFill="1" applyBorder="1" applyAlignment="1">
      <alignment horizontal="left" vertical="center"/>
    </xf>
    <xf numFmtId="0" fontId="6" fillId="13" borderId="2" xfId="0" applyFont="1" applyFill="1" applyBorder="1" applyAlignment="1">
      <alignment horizontal="left" vertical="center"/>
    </xf>
    <xf numFmtId="0" fontId="5" fillId="2" borderId="3" xfId="0" applyFont="1" applyFill="1" applyBorder="1" applyAlignment="1">
      <alignment horizontal="center" vertical="center" wrapText="1"/>
    </xf>
    <xf numFmtId="0" fontId="16" fillId="17" borderId="3" xfId="0" applyFont="1" applyFill="1" applyBorder="1" applyAlignment="1">
      <alignment horizontal="center" vertical="center" wrapText="1"/>
    </xf>
    <xf numFmtId="0" fontId="17" fillId="15" borderId="3" xfId="0" applyFont="1" applyFill="1" applyBorder="1" applyAlignment="1">
      <alignment horizontal="center" vertical="center" wrapText="1"/>
    </xf>
    <xf numFmtId="0" fontId="18" fillId="18" borderId="3" xfId="0" applyFont="1" applyFill="1" applyBorder="1" applyAlignment="1">
      <alignment horizontal="center" vertical="center" wrapText="1"/>
    </xf>
    <xf numFmtId="0" fontId="19" fillId="14" borderId="3" xfId="0" applyFont="1" applyFill="1" applyBorder="1" applyAlignment="1">
      <alignment horizontal="center" vertical="center" wrapText="1"/>
    </xf>
    <xf numFmtId="0" fontId="20" fillId="19"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1" xfId="0" applyFont="1" applyFill="1" applyBorder="1" applyAlignment="1">
      <alignment horizontal="center" vertical="center"/>
    </xf>
    <xf numFmtId="0" fontId="21" fillId="20" borderId="1" xfId="0" applyFont="1" applyFill="1" applyBorder="1" applyAlignment="1">
      <alignment horizontal="left" vertical="center"/>
    </xf>
    <xf numFmtId="0" fontId="22" fillId="13" borderId="1" xfId="0" applyFont="1" applyFill="1" applyBorder="1" applyAlignment="1">
      <alignment horizontal="left" vertical="center"/>
    </xf>
    <xf numFmtId="0" fontId="23" fillId="17" borderId="1" xfId="0" applyFont="1" applyFill="1" applyBorder="1" applyAlignment="1">
      <alignment horizontal="left" vertical="top" wrapText="1"/>
    </xf>
    <xf numFmtId="0" fontId="14" fillId="15" borderId="1" xfId="0" applyFont="1" applyFill="1" applyBorder="1" applyAlignment="1">
      <alignment horizontal="left" vertical="top" wrapText="1"/>
    </xf>
    <xf numFmtId="0" fontId="24" fillId="18" borderId="1" xfId="0" applyFont="1" applyFill="1" applyBorder="1" applyAlignment="1">
      <alignment horizontal="left" vertical="top" wrapText="1"/>
    </xf>
    <xf numFmtId="0" fontId="13" fillId="14" borderId="1" xfId="0" applyFont="1" applyFill="1" applyBorder="1" applyAlignment="1">
      <alignment horizontal="left" vertical="top" wrapText="1"/>
    </xf>
    <xf numFmtId="0" fontId="25" fillId="19" borderId="1" xfId="0" applyFont="1" applyFill="1" applyBorder="1" applyAlignment="1">
      <alignment horizontal="left" vertical="top" wrapText="1"/>
    </xf>
    <xf numFmtId="0" fontId="26" fillId="3" borderId="9" xfId="0" applyFont="1" applyFill="1" applyBorder="1" applyAlignment="1">
      <alignment horizontal="center" vertical="center"/>
    </xf>
    <xf numFmtId="0" fontId="9" fillId="13" borderId="1" xfId="0" applyFont="1" applyFill="1" applyBorder="1" applyAlignment="1">
      <alignment horizontal="center" vertical="center"/>
    </xf>
    <xf numFmtId="0" fontId="6" fillId="9" borderId="1" xfId="0" applyFont="1" applyFill="1" applyBorder="1" applyAlignment="1">
      <alignment horizontal="center" vertical="center"/>
    </xf>
    <xf numFmtId="0" fontId="28" fillId="9" borderId="1" xfId="0" applyFont="1" applyFill="1" applyBorder="1" applyAlignment="1">
      <alignment horizontal="left" vertical="center"/>
    </xf>
    <xf numFmtId="0" fontId="22" fillId="9" borderId="1" xfId="0" applyFont="1" applyFill="1" applyBorder="1" applyAlignment="1">
      <alignment horizontal="left" vertical="center"/>
    </xf>
    <xf numFmtId="0" fontId="9" fillId="9" borderId="1" xfId="0" applyFont="1" applyFill="1" applyBorder="1" applyAlignment="1">
      <alignment horizontal="center" vertical="center"/>
    </xf>
    <xf numFmtId="0" fontId="6" fillId="13" borderId="1" xfId="0" applyFont="1" applyFill="1" applyBorder="1" applyAlignment="1">
      <alignment horizontal="center" vertical="center"/>
    </xf>
    <xf numFmtId="0" fontId="28" fillId="13" borderId="1" xfId="0" applyFont="1" applyFill="1" applyBorder="1" applyAlignment="1">
      <alignment horizontal="left" vertical="center"/>
    </xf>
    <xf numFmtId="0" fontId="5" fillId="10" borderId="1" xfId="0" applyFont="1" applyFill="1" applyBorder="1" applyAlignment="1">
      <alignment horizontal="center" vertical="center"/>
    </xf>
    <xf numFmtId="0" fontId="19" fillId="14" borderId="1" xfId="0" applyFont="1" applyFill="1" applyBorder="1" applyAlignment="1">
      <alignment horizontal="left" vertical="center"/>
    </xf>
    <xf numFmtId="0" fontId="29" fillId="9" borderId="1" xfId="0" applyFont="1" applyFill="1" applyBorder="1" applyAlignment="1">
      <alignment horizontal="left" vertical="center"/>
    </xf>
    <xf numFmtId="0" fontId="29" fillId="13" borderId="1" xfId="0" applyFont="1" applyFill="1" applyBorder="1" applyAlignment="1">
      <alignment horizontal="left" vertical="center"/>
    </xf>
    <xf numFmtId="0" fontId="5" fillId="8" borderId="1" xfId="0" applyFont="1" applyFill="1" applyBorder="1" applyAlignment="1">
      <alignment horizontal="center" vertical="center"/>
    </xf>
    <xf numFmtId="0" fontId="17" fillId="15" borderId="1" xfId="0" applyFont="1" applyFill="1" applyBorder="1" applyAlignment="1">
      <alignment horizontal="left" vertical="center"/>
    </xf>
    <xf numFmtId="0" fontId="30" fillId="13" borderId="1" xfId="0" applyFont="1" applyFill="1" applyBorder="1" applyAlignment="1">
      <alignment horizontal="left" vertical="center"/>
    </xf>
    <xf numFmtId="0" fontId="30" fillId="9" borderId="1" xfId="0" applyFont="1" applyFill="1" applyBorder="1" applyAlignment="1">
      <alignment horizontal="left" vertical="center"/>
    </xf>
    <xf numFmtId="0" fontId="5" fillId="7" borderId="1" xfId="0" applyFont="1" applyFill="1" applyBorder="1" applyAlignment="1">
      <alignment horizontal="center" vertical="center"/>
    </xf>
    <xf numFmtId="0" fontId="31" fillId="16" borderId="1" xfId="0" applyFont="1" applyFill="1" applyBorder="1" applyAlignment="1">
      <alignment horizontal="left" vertical="center"/>
    </xf>
    <xf numFmtId="0" fontId="32" fillId="9" borderId="1" xfId="0" applyFont="1" applyFill="1" applyBorder="1" applyAlignment="1">
      <alignment horizontal="left" vertical="center"/>
    </xf>
    <xf numFmtId="0" fontId="32" fillId="13" borderId="1" xfId="0" applyFont="1" applyFill="1" applyBorder="1" applyAlignment="1">
      <alignment horizontal="left" vertical="center"/>
    </xf>
    <xf numFmtId="0" fontId="5" fillId="6" borderId="1" xfId="0" applyFont="1" applyFill="1" applyBorder="1" applyAlignment="1">
      <alignment horizontal="center" vertical="center"/>
    </xf>
    <xf numFmtId="0" fontId="33" fillId="12" borderId="1" xfId="0" applyFont="1" applyFill="1" applyBorder="1" applyAlignment="1">
      <alignment horizontal="left" vertical="center"/>
    </xf>
    <xf numFmtId="0" fontId="34" fillId="13" borderId="1" xfId="0" applyFont="1" applyFill="1" applyBorder="1" applyAlignment="1">
      <alignment horizontal="left" vertical="center"/>
    </xf>
    <xf numFmtId="0" fontId="34" fillId="9" borderId="1" xfId="0" applyFont="1" applyFill="1" applyBorder="1" applyAlignment="1">
      <alignment horizontal="left" vertical="center"/>
    </xf>
    <xf numFmtId="0" fontId="0" fillId="4" borderId="14" xfId="0" applyFill="1" applyBorder="1"/>
    <xf numFmtId="0" fontId="41" fillId="20" borderId="1" xfId="0" applyFont="1" applyFill="1" applyBorder="1" applyAlignment="1">
      <alignment horizontal="left" vertical="center" wrapText="1"/>
    </xf>
    <xf numFmtId="0" fontId="42" fillId="3" borderId="1" xfId="0" applyFont="1" applyFill="1" applyBorder="1" applyAlignment="1">
      <alignment horizontal="center" vertical="center"/>
    </xf>
    <xf numFmtId="0" fontId="43" fillId="20" borderId="1" xfId="0" applyFont="1" applyFill="1" applyBorder="1" applyAlignment="1">
      <alignment horizontal="center" vertical="center"/>
    </xf>
    <xf numFmtId="0" fontId="6" fillId="20" borderId="1" xfId="0" applyFont="1" applyFill="1" applyBorder="1" applyAlignment="1">
      <alignment horizontal="center" vertical="center"/>
    </xf>
    <xf numFmtId="0" fontId="41" fillId="20" borderId="1" xfId="0" applyFont="1" applyFill="1" applyBorder="1" applyAlignment="1">
      <alignment horizontal="center" vertical="center"/>
    </xf>
    <xf numFmtId="0" fontId="0" fillId="20" borderId="1" xfId="0" applyFill="1" applyBorder="1"/>
    <xf numFmtId="0" fontId="41" fillId="14" borderId="1" xfId="0" applyFont="1" applyFill="1" applyBorder="1" applyAlignment="1">
      <alignment horizontal="left" vertical="center" wrapText="1"/>
    </xf>
    <xf numFmtId="0" fontId="43"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41" fillId="14" borderId="1" xfId="0" applyFont="1" applyFill="1" applyBorder="1" applyAlignment="1">
      <alignment horizontal="center" vertical="center"/>
    </xf>
    <xf numFmtId="0" fontId="0" fillId="14" borderId="1" xfId="0" applyFill="1" applyBorder="1"/>
    <xf numFmtId="0" fontId="41" fillId="15" borderId="1" xfId="0" applyFont="1" applyFill="1" applyBorder="1" applyAlignment="1">
      <alignment horizontal="left" vertical="center" wrapText="1"/>
    </xf>
    <xf numFmtId="0" fontId="43" fillId="15" borderId="1" xfId="0" applyFont="1" applyFill="1" applyBorder="1" applyAlignment="1">
      <alignment horizontal="center" vertical="center"/>
    </xf>
    <xf numFmtId="0" fontId="6" fillId="15" borderId="1" xfId="0" applyFont="1" applyFill="1" applyBorder="1" applyAlignment="1">
      <alignment horizontal="center" vertical="center"/>
    </xf>
    <xf numFmtId="0" fontId="41" fillId="15" borderId="1" xfId="0" applyFont="1" applyFill="1" applyBorder="1" applyAlignment="1">
      <alignment horizontal="center" vertical="center"/>
    </xf>
    <xf numFmtId="0" fontId="0" fillId="15" borderId="1" xfId="0" applyFill="1" applyBorder="1"/>
    <xf numFmtId="0" fontId="41" fillId="16" borderId="1" xfId="0" applyFont="1" applyFill="1" applyBorder="1" applyAlignment="1">
      <alignment horizontal="left" vertical="center" wrapText="1"/>
    </xf>
    <xf numFmtId="0" fontId="43" fillId="16" borderId="1" xfId="0" applyFont="1" applyFill="1" applyBorder="1" applyAlignment="1">
      <alignment horizontal="center" vertical="center"/>
    </xf>
    <xf numFmtId="0" fontId="6" fillId="16" borderId="1" xfId="0" applyFont="1" applyFill="1" applyBorder="1" applyAlignment="1">
      <alignment horizontal="center" vertical="center"/>
    </xf>
    <xf numFmtId="0" fontId="41" fillId="16" borderId="1" xfId="0" applyFont="1" applyFill="1" applyBorder="1" applyAlignment="1">
      <alignment horizontal="center" vertical="center"/>
    </xf>
    <xf numFmtId="0" fontId="0" fillId="16" borderId="1" xfId="0" applyFill="1" applyBorder="1"/>
    <xf numFmtId="0" fontId="42" fillId="3" borderId="14" xfId="0" applyFont="1" applyFill="1" applyBorder="1" applyAlignment="1">
      <alignment horizontal="center"/>
    </xf>
    <xf numFmtId="0" fontId="5" fillId="4" borderId="14" xfId="0" applyFont="1" applyFill="1" applyBorder="1" applyAlignment="1">
      <alignment horizontal="center" vertical="center" wrapText="1"/>
    </xf>
    <xf numFmtId="0" fontId="8" fillId="13" borderId="1" xfId="0" applyFont="1" applyFill="1" applyBorder="1" applyAlignment="1">
      <alignment horizontal="center" vertical="center"/>
    </xf>
    <xf numFmtId="0" fontId="41" fillId="13" borderId="1" xfId="0" applyFont="1" applyFill="1" applyBorder="1" applyAlignment="1">
      <alignment horizontal="left" vertical="center" wrapText="1"/>
    </xf>
    <xf numFmtId="3" fontId="44" fillId="3" borderId="1" xfId="0" applyNumberFormat="1" applyFont="1" applyFill="1" applyBorder="1" applyAlignment="1">
      <alignment horizontal="center"/>
    </xf>
    <xf numFmtId="3" fontId="45" fillId="13" borderId="1" xfId="0" applyNumberFormat="1" applyFont="1" applyFill="1" applyBorder="1" applyAlignment="1">
      <alignment horizontal="center"/>
    </xf>
    <xf numFmtId="3" fontId="9" fillId="13" borderId="0" xfId="0" applyNumberFormat="1" applyFont="1" applyFill="1" applyAlignment="1">
      <alignment horizontal="center"/>
    </xf>
    <xf numFmtId="165" fontId="9" fillId="13" borderId="0" xfId="0" applyNumberFormat="1" applyFont="1" applyFill="1" applyAlignment="1">
      <alignment horizontal="center"/>
    </xf>
    <xf numFmtId="165" fontId="45" fillId="13" borderId="0" xfId="0" applyNumberFormat="1" applyFont="1" applyFill="1" applyAlignment="1">
      <alignment horizontal="center"/>
    </xf>
    <xf numFmtId="0" fontId="9" fillId="13" borderId="0" xfId="0" applyFont="1" applyFill="1" applyAlignment="1">
      <alignment horizontal="center"/>
    </xf>
    <xf numFmtId="0" fontId="8" fillId="9" borderId="1" xfId="0" applyFont="1" applyFill="1" applyBorder="1" applyAlignment="1">
      <alignment horizontal="center" vertical="center"/>
    </xf>
    <xf numFmtId="0" fontId="41" fillId="9" borderId="1" xfId="0" applyFont="1" applyFill="1" applyBorder="1" applyAlignment="1">
      <alignment horizontal="left" vertical="center" wrapText="1"/>
    </xf>
    <xf numFmtId="3" fontId="45" fillId="9" borderId="1" xfId="0" applyNumberFormat="1" applyFont="1" applyFill="1" applyBorder="1" applyAlignment="1">
      <alignment horizontal="center"/>
    </xf>
    <xf numFmtId="3" fontId="9" fillId="9" borderId="0" xfId="0" applyNumberFormat="1" applyFont="1" applyFill="1" applyAlignment="1">
      <alignment horizontal="center"/>
    </xf>
    <xf numFmtId="165" fontId="9" fillId="9" borderId="0" xfId="0" applyNumberFormat="1" applyFont="1" applyFill="1" applyAlignment="1">
      <alignment horizontal="center"/>
    </xf>
    <xf numFmtId="165" fontId="45" fillId="9" borderId="0" xfId="0" applyNumberFormat="1" applyFont="1" applyFill="1" applyAlignment="1">
      <alignment horizontal="center"/>
    </xf>
    <xf numFmtId="0" fontId="9" fillId="9" borderId="0" xfId="0" applyFont="1" applyFill="1" applyAlignment="1">
      <alignment horizontal="center"/>
    </xf>
    <xf numFmtId="0" fontId="6" fillId="2" borderId="1" xfId="0" applyFont="1" applyFill="1" applyBorder="1" applyAlignment="1">
      <alignment horizontal="left" vertical="center"/>
    </xf>
    <xf numFmtId="3" fontId="4" fillId="2" borderId="0" xfId="0" applyNumberFormat="1" applyFont="1" applyFill="1" applyAlignment="1">
      <alignment horizontal="center"/>
    </xf>
    <xf numFmtId="165" fontId="4" fillId="2" borderId="0" xfId="0" applyNumberFormat="1" applyFont="1" applyFill="1" applyAlignment="1">
      <alignment horizontal="center"/>
    </xf>
    <xf numFmtId="0" fontId="5" fillId="6" borderId="14" xfId="0" applyFont="1" applyFill="1" applyBorder="1" applyAlignment="1">
      <alignment horizontal="center" vertical="center" wrapText="1"/>
    </xf>
    <xf numFmtId="0" fontId="22" fillId="20" borderId="1" xfId="0" applyFont="1" applyFill="1" applyBorder="1" applyAlignment="1">
      <alignment horizontal="left" vertical="center"/>
    </xf>
    <xf numFmtId="0" fontId="45" fillId="20" borderId="1" xfId="0" applyFont="1" applyFill="1" applyBorder="1" applyAlignment="1">
      <alignment horizontal="center"/>
    </xf>
    <xf numFmtId="0" fontId="44" fillId="3" borderId="1" xfId="0" applyFont="1" applyFill="1" applyBorder="1" applyAlignment="1">
      <alignment horizontal="center"/>
    </xf>
    <xf numFmtId="165" fontId="9" fillId="20" borderId="1" xfId="0" applyNumberFormat="1" applyFont="1" applyFill="1" applyBorder="1" applyAlignment="1">
      <alignment horizontal="center"/>
    </xf>
    <xf numFmtId="165" fontId="45" fillId="20" borderId="1" xfId="0" applyNumberFormat="1" applyFont="1" applyFill="1" applyBorder="1" applyAlignment="1">
      <alignment horizontal="center"/>
    </xf>
    <xf numFmtId="0" fontId="22" fillId="14" borderId="1" xfId="0" applyFont="1" applyFill="1" applyBorder="1" applyAlignment="1">
      <alignment horizontal="left" vertical="center"/>
    </xf>
    <xf numFmtId="0" fontId="45" fillId="14" borderId="1" xfId="0" applyFont="1" applyFill="1" applyBorder="1" applyAlignment="1">
      <alignment horizontal="center"/>
    </xf>
    <xf numFmtId="165" fontId="9" fillId="14" borderId="1" xfId="0" applyNumberFormat="1" applyFont="1" applyFill="1" applyBorder="1" applyAlignment="1">
      <alignment horizontal="center"/>
    </xf>
    <xf numFmtId="165" fontId="45" fillId="14" borderId="1" xfId="0" applyNumberFormat="1" applyFont="1" applyFill="1" applyBorder="1" applyAlignment="1">
      <alignment horizontal="center"/>
    </xf>
    <xf numFmtId="0" fontId="22" fillId="15" borderId="1" xfId="0" applyFont="1" applyFill="1" applyBorder="1" applyAlignment="1">
      <alignment horizontal="left" vertical="center"/>
    </xf>
    <xf numFmtId="0" fontId="45" fillId="15" borderId="1" xfId="0" applyFont="1" applyFill="1" applyBorder="1" applyAlignment="1">
      <alignment horizontal="center"/>
    </xf>
    <xf numFmtId="165" fontId="9" fillId="15" borderId="1" xfId="0" applyNumberFormat="1" applyFont="1" applyFill="1" applyBorder="1" applyAlignment="1">
      <alignment horizontal="center"/>
    </xf>
    <xf numFmtId="165" fontId="45" fillId="15" borderId="1" xfId="0" applyNumberFormat="1" applyFont="1" applyFill="1" applyBorder="1" applyAlignment="1">
      <alignment horizontal="center"/>
    </xf>
    <xf numFmtId="0" fontId="22" fillId="16" borderId="1" xfId="0" applyFont="1" applyFill="1" applyBorder="1" applyAlignment="1">
      <alignment horizontal="left" vertical="center"/>
    </xf>
    <xf numFmtId="0" fontId="45" fillId="16" borderId="1" xfId="0" applyFont="1" applyFill="1" applyBorder="1" applyAlignment="1">
      <alignment horizontal="center"/>
    </xf>
    <xf numFmtId="165" fontId="9" fillId="16" borderId="1" xfId="0" applyNumberFormat="1" applyFont="1" applyFill="1" applyBorder="1" applyAlignment="1">
      <alignment horizontal="center"/>
    </xf>
    <xf numFmtId="165" fontId="45" fillId="16" borderId="1" xfId="0" applyNumberFormat="1" applyFont="1" applyFill="1" applyBorder="1" applyAlignment="1">
      <alignment horizontal="center"/>
    </xf>
    <xf numFmtId="0" fontId="21" fillId="13" borderId="1" xfId="0" applyFont="1" applyFill="1" applyBorder="1" applyAlignment="1">
      <alignment horizontal="center" vertical="center"/>
    </xf>
    <xf numFmtId="0" fontId="41" fillId="13" borderId="1" xfId="0" applyFont="1" applyFill="1" applyBorder="1" applyAlignment="1">
      <alignment horizontal="center" vertical="center" wrapText="1"/>
    </xf>
    <xf numFmtId="1" fontId="42" fillId="3" borderId="1" xfId="0" applyNumberFormat="1" applyFont="1" applyFill="1" applyBorder="1" applyAlignment="1">
      <alignment horizontal="center" vertical="center"/>
    </xf>
    <xf numFmtId="9" fontId="6" fillId="13" borderId="1" xfId="0" applyNumberFormat="1" applyFont="1" applyFill="1" applyBorder="1" applyAlignment="1">
      <alignment horizontal="center" vertical="center"/>
    </xf>
    <xf numFmtId="2" fontId="45" fillId="13" borderId="1" xfId="0" applyNumberFormat="1" applyFont="1" applyFill="1" applyBorder="1" applyAlignment="1">
      <alignment horizontal="center"/>
    </xf>
    <xf numFmtId="0" fontId="21" fillId="9" borderId="1" xfId="0" applyFont="1" applyFill="1" applyBorder="1" applyAlignment="1">
      <alignment horizontal="center" vertical="center"/>
    </xf>
    <xf numFmtId="0" fontId="41" fillId="9" borderId="1" xfId="0" applyFont="1" applyFill="1" applyBorder="1" applyAlignment="1">
      <alignment horizontal="center" vertical="center" wrapText="1"/>
    </xf>
    <xf numFmtId="9" fontId="6" fillId="9" borderId="1" xfId="0" applyNumberFormat="1" applyFont="1" applyFill="1" applyBorder="1" applyAlignment="1">
      <alignment horizontal="center" vertical="center"/>
    </xf>
    <xf numFmtId="2" fontId="45" fillId="9" borderId="1" xfId="0" applyNumberFormat="1" applyFont="1" applyFill="1" applyBorder="1" applyAlignment="1">
      <alignment horizontal="center"/>
    </xf>
    <xf numFmtId="0" fontId="33" fillId="13" borderId="1" xfId="0" applyFont="1" applyFill="1" applyBorder="1" applyAlignment="1">
      <alignment horizontal="center" vertical="center"/>
    </xf>
    <xf numFmtId="0" fontId="33" fillId="9" borderId="1" xfId="0" applyFont="1" applyFill="1" applyBorder="1" applyAlignment="1">
      <alignment horizontal="center" vertical="center"/>
    </xf>
    <xf numFmtId="0" fontId="5" fillId="7" borderId="14" xfId="0" applyFont="1" applyFill="1" applyBorder="1" applyAlignment="1">
      <alignment horizontal="center" vertical="center" wrapText="1"/>
    </xf>
    <xf numFmtId="0" fontId="31" fillId="13" borderId="1" xfId="0" applyFont="1" applyFill="1" applyBorder="1" applyAlignment="1">
      <alignment horizontal="center" vertical="center"/>
    </xf>
    <xf numFmtId="0" fontId="31" fillId="9" borderId="1" xfId="0" applyFont="1" applyFill="1" applyBorder="1" applyAlignment="1">
      <alignment horizontal="center" vertical="center"/>
    </xf>
    <xf numFmtId="0" fontId="5" fillId="2" borderId="14" xfId="0" applyFont="1" applyFill="1" applyBorder="1" applyAlignment="1">
      <alignment horizontal="center" vertical="center" wrapText="1"/>
    </xf>
    <xf numFmtId="0" fontId="22" fillId="14" borderId="1" xfId="0" applyFont="1" applyFill="1" applyBorder="1" applyAlignment="1">
      <alignment horizontal="center" vertical="center"/>
    </xf>
    <xf numFmtId="0" fontId="19" fillId="14" borderId="1" xfId="0" applyFont="1" applyFill="1" applyBorder="1" applyAlignment="1">
      <alignment horizontal="center" vertical="center"/>
    </xf>
    <xf numFmtId="0" fontId="22" fillId="20" borderId="1" xfId="0" applyFont="1" applyFill="1" applyBorder="1" applyAlignment="1">
      <alignment horizontal="center" vertical="center"/>
    </xf>
    <xf numFmtId="0" fontId="21" fillId="20" borderId="1" xfId="0" applyFont="1" applyFill="1" applyBorder="1" applyAlignment="1">
      <alignment horizontal="center" vertical="center"/>
    </xf>
    <xf numFmtId="0" fontId="22" fillId="15" borderId="1" xfId="0" applyFont="1" applyFill="1" applyBorder="1" applyAlignment="1">
      <alignment horizontal="center" vertical="center"/>
    </xf>
    <xf numFmtId="0" fontId="17" fillId="15" borderId="1" xfId="0" applyFont="1" applyFill="1" applyBorder="1" applyAlignment="1">
      <alignment horizontal="center" vertical="center"/>
    </xf>
    <xf numFmtId="0" fontId="5" fillId="11" borderId="1" xfId="0" applyFont="1" applyFill="1" applyBorder="1" applyAlignment="1">
      <alignment horizontal="center" vertical="center"/>
    </xf>
    <xf numFmtId="0" fontId="22" fillId="17" borderId="1" xfId="0" applyFont="1" applyFill="1" applyBorder="1" applyAlignment="1">
      <alignment horizontal="center" vertical="center"/>
    </xf>
    <xf numFmtId="0" fontId="16" fillId="17" borderId="1" xfId="0" applyFont="1" applyFill="1" applyBorder="1" applyAlignment="1">
      <alignment horizontal="center" vertical="center"/>
    </xf>
    <xf numFmtId="0" fontId="55" fillId="6" borderId="14" xfId="0" applyFont="1" applyFill="1" applyBorder="1" applyAlignment="1">
      <alignment horizontal="center" vertical="center" wrapText="1"/>
    </xf>
    <xf numFmtId="0" fontId="56" fillId="20" borderId="1" xfId="0" applyFont="1" applyFill="1" applyBorder="1" applyAlignment="1">
      <alignment horizontal="left" vertical="center" wrapText="1"/>
    </xf>
    <xf numFmtId="3" fontId="9" fillId="20" borderId="1" xfId="0" applyNumberFormat="1" applyFont="1" applyFill="1" applyBorder="1" applyAlignment="1">
      <alignment horizontal="center"/>
    </xf>
    <xf numFmtId="3" fontId="45" fillId="3" borderId="1" xfId="0" applyNumberFormat="1" applyFont="1" applyFill="1" applyBorder="1" applyAlignment="1">
      <alignment horizontal="center"/>
    </xf>
    <xf numFmtId="3" fontId="9" fillId="13" borderId="1" xfId="0" applyNumberFormat="1" applyFont="1" applyFill="1" applyBorder="1" applyAlignment="1">
      <alignment horizontal="center"/>
    </xf>
    <xf numFmtId="0" fontId="56" fillId="14" borderId="1" xfId="0" applyFont="1" applyFill="1" applyBorder="1" applyAlignment="1">
      <alignment horizontal="left" vertical="center" wrapText="1"/>
    </xf>
    <xf numFmtId="3" fontId="9" fillId="14" borderId="1" xfId="0" applyNumberFormat="1" applyFont="1" applyFill="1" applyBorder="1" applyAlignment="1">
      <alignment horizontal="center"/>
    </xf>
    <xf numFmtId="3" fontId="9" fillId="9" borderId="1" xfId="0" applyNumberFormat="1" applyFont="1" applyFill="1" applyBorder="1" applyAlignment="1">
      <alignment horizontal="center"/>
    </xf>
    <xf numFmtId="0" fontId="56" fillId="15" borderId="1" xfId="0" applyFont="1" applyFill="1" applyBorder="1" applyAlignment="1">
      <alignment horizontal="left" vertical="center" wrapText="1"/>
    </xf>
    <xf numFmtId="3" fontId="9" fillId="15" borderId="1" xfId="0" applyNumberFormat="1" applyFont="1" applyFill="1" applyBorder="1" applyAlignment="1">
      <alignment horizontal="center"/>
    </xf>
    <xf numFmtId="0" fontId="22" fillId="12" borderId="1" xfId="0" applyFont="1" applyFill="1" applyBorder="1" applyAlignment="1">
      <alignment horizontal="left" vertical="center"/>
    </xf>
    <xf numFmtId="0" fontId="56" fillId="12" borderId="1" xfId="0" applyFont="1" applyFill="1" applyBorder="1" applyAlignment="1">
      <alignment horizontal="left" vertical="center" wrapText="1"/>
    </xf>
    <xf numFmtId="3" fontId="9" fillId="12" borderId="1" xfId="0" applyNumberFormat="1" applyFont="1" applyFill="1" applyBorder="1" applyAlignment="1">
      <alignment horizontal="center"/>
    </xf>
    <xf numFmtId="0" fontId="56" fillId="16" borderId="1" xfId="0" applyFont="1" applyFill="1" applyBorder="1" applyAlignment="1">
      <alignment horizontal="left" vertical="center" wrapText="1"/>
    </xf>
    <xf numFmtId="3" fontId="9" fillId="16" borderId="1" xfId="0" applyNumberFormat="1" applyFont="1" applyFill="1" applyBorder="1" applyAlignment="1">
      <alignment horizontal="center"/>
    </xf>
    <xf numFmtId="0" fontId="5" fillId="22" borderId="1" xfId="0" applyFont="1" applyFill="1" applyBorder="1" applyAlignment="1">
      <alignment horizontal="center" vertical="center"/>
    </xf>
    <xf numFmtId="0" fontId="56" fillId="13" borderId="1" xfId="0" applyFont="1" applyFill="1" applyBorder="1" applyAlignment="1">
      <alignment horizontal="left" vertical="center" wrapText="1"/>
    </xf>
    <xf numFmtId="0" fontId="22" fillId="17" borderId="1" xfId="0" applyFont="1" applyFill="1" applyBorder="1" applyAlignment="1">
      <alignment horizontal="left" vertical="center"/>
    </xf>
    <xf numFmtId="0" fontId="56" fillId="17" borderId="1" xfId="0" applyFont="1" applyFill="1" applyBorder="1" applyAlignment="1">
      <alignment horizontal="left" vertical="center" wrapText="1"/>
    </xf>
    <xf numFmtId="3" fontId="9" fillId="17" borderId="1" xfId="0" applyNumberFormat="1" applyFont="1" applyFill="1" applyBorder="1" applyAlignment="1">
      <alignment horizontal="center"/>
    </xf>
    <xf numFmtId="3" fontId="4" fillId="2" borderId="14" xfId="0" applyNumberFormat="1" applyFont="1" applyFill="1" applyBorder="1" applyAlignment="1">
      <alignment horizontal="center"/>
    </xf>
    <xf numFmtId="0" fontId="55" fillId="10" borderId="14" xfId="0" applyFont="1" applyFill="1" applyBorder="1" applyAlignment="1">
      <alignment horizontal="center" vertical="center" wrapText="1"/>
    </xf>
    <xf numFmtId="3" fontId="27" fillId="13" borderId="1" xfId="0" applyNumberFormat="1" applyFont="1" applyFill="1" applyBorder="1" applyAlignment="1">
      <alignment horizontal="left" vertical="center"/>
    </xf>
    <xf numFmtId="3" fontId="19" fillId="14" borderId="1" xfId="0" applyNumberFormat="1" applyFont="1" applyFill="1" applyBorder="1" applyAlignment="1">
      <alignment horizontal="center"/>
    </xf>
    <xf numFmtId="3" fontId="43" fillId="13" borderId="1" xfId="0" applyNumberFormat="1" applyFont="1" applyFill="1" applyBorder="1" applyAlignment="1">
      <alignment horizontal="center"/>
    </xf>
    <xf numFmtId="166" fontId="57" fillId="15" borderId="1" xfId="0" applyNumberFormat="1" applyFont="1" applyFill="1" applyBorder="1" applyAlignment="1">
      <alignment horizontal="center"/>
    </xf>
    <xf numFmtId="3" fontId="7" fillId="10" borderId="14" xfId="0" applyNumberFormat="1" applyFont="1" applyFill="1" applyBorder="1" applyAlignment="1">
      <alignment horizontal="center"/>
    </xf>
    <xf numFmtId="0" fontId="21" fillId="20" borderId="1" xfId="0" applyFont="1" applyFill="1" applyBorder="1" applyAlignment="1">
      <alignment horizontal="center"/>
    </xf>
    <xf numFmtId="0" fontId="27" fillId="13" borderId="1" xfId="0" applyFont="1" applyFill="1" applyBorder="1" applyAlignment="1">
      <alignment horizontal="center" vertical="center" wrapText="1"/>
    </xf>
    <xf numFmtId="0" fontId="13" fillId="13" borderId="1" xfId="0" applyFont="1" applyFill="1" applyBorder="1" applyAlignment="1">
      <alignment horizontal="center"/>
    </xf>
    <xf numFmtId="3" fontId="27" fillId="9" borderId="1" xfId="0" applyNumberFormat="1" applyFont="1" applyFill="1" applyBorder="1" applyAlignment="1">
      <alignment horizontal="left" vertical="center"/>
    </xf>
    <xf numFmtId="3" fontId="43" fillId="9" borderId="1" xfId="0" applyNumberFormat="1" applyFont="1" applyFill="1" applyBorder="1" applyAlignment="1">
      <alignment horizontal="center"/>
    </xf>
    <xf numFmtId="0" fontId="19" fillId="14" borderId="1" xfId="0" applyFont="1" applyFill="1" applyBorder="1" applyAlignment="1">
      <alignment horizontal="center"/>
    </xf>
    <xf numFmtId="0" fontId="27" fillId="9" borderId="1" xfId="0" applyFont="1" applyFill="1" applyBorder="1" applyAlignment="1">
      <alignment horizontal="center" vertical="center" wrapText="1"/>
    </xf>
    <xf numFmtId="0" fontId="13" fillId="9" borderId="1" xfId="0" applyFont="1" applyFill="1" applyBorder="1" applyAlignment="1">
      <alignment horizontal="center"/>
    </xf>
    <xf numFmtId="0" fontId="31" fillId="16" borderId="1" xfId="0" applyFont="1" applyFill="1" applyBorder="1" applyAlignment="1">
      <alignment horizontal="center"/>
    </xf>
    <xf numFmtId="0" fontId="17" fillId="15" borderId="1" xfId="0" applyFont="1" applyFill="1" applyBorder="1" applyAlignment="1">
      <alignment horizontal="center"/>
    </xf>
    <xf numFmtId="3" fontId="7" fillId="2" borderId="14" xfId="0" applyNumberFormat="1" applyFont="1" applyFill="1" applyBorder="1" applyAlignment="1">
      <alignment horizontal="center"/>
    </xf>
    <xf numFmtId="165" fontId="7" fillId="2" borderId="14" xfId="0" applyNumberFormat="1" applyFont="1" applyFill="1" applyBorder="1" applyAlignment="1">
      <alignment horizontal="center"/>
    </xf>
    <xf numFmtId="0" fontId="0" fillId="2" borderId="14" xfId="0" applyFill="1" applyBorder="1"/>
    <xf numFmtId="0" fontId="5" fillId="21" borderId="14" xfId="0" applyFont="1" applyFill="1" applyBorder="1" applyAlignment="1">
      <alignment horizontal="center" vertical="center" wrapText="1"/>
    </xf>
    <xf numFmtId="0" fontId="53" fillId="13" borderId="1" xfId="0" applyFont="1" applyFill="1" applyBorder="1" applyAlignment="1">
      <alignment horizontal="left" vertical="center" wrapText="1"/>
    </xf>
    <xf numFmtId="0" fontId="41" fillId="13" borderId="1" xfId="0" applyFont="1" applyFill="1" applyBorder="1" applyAlignment="1">
      <alignment horizontal="center" vertical="center"/>
    </xf>
    <xf numFmtId="0" fontId="53" fillId="9" borderId="1" xfId="0" applyFont="1" applyFill="1" applyBorder="1" applyAlignment="1">
      <alignment horizontal="left" vertical="center" wrapText="1"/>
    </xf>
    <xf numFmtId="0" fontId="41" fillId="9" borderId="1" xfId="0" applyFont="1" applyFill="1" applyBorder="1" applyAlignment="1">
      <alignment horizontal="center" vertical="center"/>
    </xf>
    <xf numFmtId="0" fontId="56" fillId="9" borderId="1" xfId="0" applyFont="1" applyFill="1" applyBorder="1" applyAlignment="1">
      <alignment horizontal="left" vertical="center" wrapText="1"/>
    </xf>
    <xf numFmtId="0" fontId="58" fillId="16" borderId="1" xfId="0" applyFont="1" applyFill="1" applyBorder="1" applyAlignment="1">
      <alignment horizontal="center" vertical="center"/>
    </xf>
    <xf numFmtId="3" fontId="6" fillId="13" borderId="1" xfId="0" applyNumberFormat="1" applyFont="1" applyFill="1" applyBorder="1" applyAlignment="1">
      <alignment horizontal="center" vertical="center"/>
    </xf>
    <xf numFmtId="167" fontId="6" fillId="13" borderId="1" xfId="0" applyNumberFormat="1" applyFont="1" applyFill="1" applyBorder="1" applyAlignment="1">
      <alignment horizontal="center" vertical="center"/>
    </xf>
    <xf numFmtId="3" fontId="19" fillId="14" borderId="1" xfId="0" applyNumberFormat="1" applyFont="1" applyFill="1" applyBorder="1" applyAlignment="1">
      <alignment horizontal="center" vertical="center"/>
    </xf>
    <xf numFmtId="3" fontId="6" fillId="9" borderId="1" xfId="0" applyNumberFormat="1" applyFont="1" applyFill="1" applyBorder="1" applyAlignment="1">
      <alignment horizontal="center" vertical="center"/>
    </xf>
    <xf numFmtId="167" fontId="6" fillId="9" borderId="1" xfId="0" applyNumberFormat="1" applyFont="1" applyFill="1" applyBorder="1" applyAlignment="1">
      <alignment horizontal="center" vertical="center"/>
    </xf>
    <xf numFmtId="0" fontId="5" fillId="8" borderId="14" xfId="0" applyFont="1" applyFill="1" applyBorder="1" applyAlignment="1">
      <alignment horizontal="center" vertical="center" wrapText="1"/>
    </xf>
    <xf numFmtId="0" fontId="5" fillId="21" borderId="1" xfId="0" applyFont="1" applyFill="1" applyBorder="1" applyAlignment="1">
      <alignment horizontal="center" vertical="center"/>
    </xf>
    <xf numFmtId="0" fontId="41" fillId="13" borderId="1" xfId="0" applyFont="1" applyFill="1" applyBorder="1" applyAlignment="1">
      <alignment horizontal="left" vertical="top" wrapText="1"/>
    </xf>
    <xf numFmtId="0" fontId="27" fillId="13" borderId="1" xfId="0" applyFont="1" applyFill="1" applyBorder="1" applyAlignment="1">
      <alignment horizontal="left" vertical="top" wrapText="1"/>
    </xf>
    <xf numFmtId="0" fontId="41" fillId="9" borderId="1" xfId="0" applyFont="1" applyFill="1" applyBorder="1" applyAlignment="1">
      <alignment horizontal="left" vertical="top" wrapText="1"/>
    </xf>
    <xf numFmtId="0" fontId="31" fillId="16" borderId="1" xfId="0" applyFont="1" applyFill="1" applyBorder="1" applyAlignment="1">
      <alignment horizontal="center" vertical="center"/>
    </xf>
    <xf numFmtId="9" fontId="42" fillId="3" borderId="1" xfId="0" applyNumberFormat="1" applyFont="1" applyFill="1" applyBorder="1" applyAlignment="1">
      <alignment horizontal="center"/>
    </xf>
    <xf numFmtId="0" fontId="42" fillId="3" borderId="1" xfId="0" applyFont="1" applyFill="1" applyBorder="1" applyAlignment="1">
      <alignment horizontal="center"/>
    </xf>
    <xf numFmtId="0" fontId="41" fillId="12"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22" fillId="12" borderId="1" xfId="0" applyFont="1" applyFill="1" applyBorder="1" applyAlignment="1">
      <alignment horizontal="center" vertical="center"/>
    </xf>
    <xf numFmtId="0" fontId="22" fillId="16" borderId="1" xfId="0" applyFont="1" applyFill="1" applyBorder="1" applyAlignment="1">
      <alignment horizontal="center" vertical="center"/>
    </xf>
    <xf numFmtId="165" fontId="59" fillId="3" borderId="1" xfId="0" applyNumberFormat="1" applyFont="1" applyFill="1" applyBorder="1" applyAlignment="1">
      <alignment horizontal="center"/>
    </xf>
    <xf numFmtId="9" fontId="59" fillId="3" borderId="1" xfId="0" applyNumberFormat="1" applyFont="1" applyFill="1" applyBorder="1" applyAlignment="1">
      <alignment horizontal="center"/>
    </xf>
    <xf numFmtId="165" fontId="33" fillId="12" borderId="1" xfId="0" applyNumberFormat="1" applyFont="1" applyFill="1" applyBorder="1" applyAlignment="1">
      <alignment horizontal="center"/>
    </xf>
    <xf numFmtId="0" fontId="59" fillId="3" borderId="1" xfId="0" applyFont="1" applyFill="1" applyBorder="1" applyAlignment="1">
      <alignment horizontal="center"/>
    </xf>
    <xf numFmtId="165" fontId="7" fillId="2" borderId="0" xfId="0" applyNumberFormat="1" applyFont="1" applyFill="1" applyAlignment="1">
      <alignment horizontal="center"/>
    </xf>
    <xf numFmtId="165" fontId="26" fillId="3" borderId="0" xfId="0" applyNumberFormat="1" applyFont="1" applyFill="1" applyAlignment="1">
      <alignment horizontal="center"/>
    </xf>
    <xf numFmtId="0" fontId="41" fillId="13" borderId="1" xfId="0" applyFont="1" applyFill="1" applyBorder="1" applyAlignment="1">
      <alignment horizontal="left" vertical="center"/>
    </xf>
    <xf numFmtId="9" fontId="44" fillId="3" borderId="1" xfId="0" applyNumberFormat="1" applyFont="1" applyFill="1" applyBorder="1" applyAlignment="1">
      <alignment horizontal="center"/>
    </xf>
    <xf numFmtId="9" fontId="6" fillId="13" borderId="1" xfId="0" applyNumberFormat="1" applyFont="1" applyFill="1" applyBorder="1" applyAlignment="1">
      <alignment horizontal="center"/>
    </xf>
    <xf numFmtId="0" fontId="11" fillId="13" borderId="1" xfId="0" applyFont="1" applyFill="1" applyBorder="1" applyAlignment="1">
      <alignment horizontal="center" vertical="center"/>
    </xf>
    <xf numFmtId="165" fontId="45" fillId="13" borderId="1" xfId="0" applyNumberFormat="1" applyFont="1" applyFill="1" applyBorder="1" applyAlignment="1">
      <alignment horizontal="center"/>
    </xf>
    <xf numFmtId="0" fontId="41" fillId="9" borderId="1" xfId="0" applyFont="1" applyFill="1" applyBorder="1" applyAlignment="1">
      <alignment horizontal="left" vertical="center"/>
    </xf>
    <xf numFmtId="9" fontId="6" fillId="9" borderId="1" xfId="0" applyNumberFormat="1" applyFont="1" applyFill="1" applyBorder="1" applyAlignment="1">
      <alignment horizontal="center"/>
    </xf>
    <xf numFmtId="0" fontId="11" fillId="9" borderId="1" xfId="0" applyFont="1" applyFill="1" applyBorder="1" applyAlignment="1">
      <alignment horizontal="center" vertical="center"/>
    </xf>
    <xf numFmtId="165" fontId="45" fillId="9" borderId="1" xfId="0" applyNumberFormat="1" applyFont="1" applyFill="1" applyBorder="1" applyAlignment="1">
      <alignment horizontal="center"/>
    </xf>
    <xf numFmtId="9" fontId="44" fillId="9" borderId="1" xfId="0" applyNumberFormat="1" applyFont="1" applyFill="1" applyBorder="1" applyAlignment="1">
      <alignment horizontal="center"/>
    </xf>
    <xf numFmtId="9" fontId="60" fillId="15" borderId="1" xfId="0" applyNumberFormat="1" applyFont="1" applyFill="1" applyBorder="1" applyAlignment="1">
      <alignment horizontal="center"/>
    </xf>
    <xf numFmtId="9" fontId="44" fillId="13" borderId="1" xfId="0" applyNumberFormat="1" applyFont="1" applyFill="1" applyBorder="1" applyAlignment="1">
      <alignment horizontal="center"/>
    </xf>
    <xf numFmtId="0" fontId="61" fillId="13" borderId="1" xfId="0" applyFont="1" applyFill="1" applyBorder="1" applyAlignment="1">
      <alignment horizontal="left" vertical="center"/>
    </xf>
    <xf numFmtId="0" fontId="62" fillId="13" borderId="1" xfId="0" applyFont="1" applyFill="1" applyBorder="1" applyAlignment="1">
      <alignment horizontal="center" vertical="center"/>
    </xf>
    <xf numFmtId="167" fontId="45" fillId="13" borderId="1" xfId="0" applyNumberFormat="1" applyFont="1" applyFill="1" applyBorder="1" applyAlignment="1">
      <alignment horizontal="center"/>
    </xf>
    <xf numFmtId="0" fontId="9" fillId="13" borderId="1" xfId="0" applyFont="1" applyFill="1" applyBorder="1" applyAlignment="1">
      <alignment horizontal="center"/>
    </xf>
    <xf numFmtId="0" fontId="61" fillId="9" borderId="1" xfId="0" applyFont="1" applyFill="1" applyBorder="1" applyAlignment="1">
      <alignment horizontal="left" vertical="center"/>
    </xf>
    <xf numFmtId="0" fontId="62" fillId="9" borderId="1" xfId="0" applyFont="1" applyFill="1" applyBorder="1" applyAlignment="1">
      <alignment horizontal="center" vertical="center"/>
    </xf>
    <xf numFmtId="167" fontId="45" fillId="9" borderId="1" xfId="0" applyNumberFormat="1" applyFont="1" applyFill="1" applyBorder="1" applyAlignment="1">
      <alignment horizontal="center"/>
    </xf>
    <xf numFmtId="0" fontId="9" fillId="9" borderId="1" xfId="0" applyFont="1" applyFill="1" applyBorder="1" applyAlignment="1">
      <alignment horizontal="center"/>
    </xf>
    <xf numFmtId="0" fontId="6" fillId="13" borderId="1" xfId="0" applyFont="1" applyFill="1" applyBorder="1" applyAlignment="1">
      <alignment horizontal="left" vertical="center"/>
    </xf>
    <xf numFmtId="165" fontId="44" fillId="3" borderId="1" xfId="0" applyNumberFormat="1" applyFont="1" applyFill="1" applyBorder="1" applyAlignment="1">
      <alignment horizontal="center"/>
    </xf>
    <xf numFmtId="168" fontId="45" fillId="14" borderId="0" xfId="0" applyNumberFormat="1" applyFont="1" applyFill="1" applyAlignment="1">
      <alignment horizontal="center"/>
    </xf>
    <xf numFmtId="0" fontId="27" fillId="13" borderId="1" xfId="0" applyFont="1" applyFill="1" applyBorder="1" applyAlignment="1">
      <alignment horizontal="left" vertical="center"/>
    </xf>
    <xf numFmtId="0" fontId="6" fillId="9" borderId="1" xfId="0" applyFont="1" applyFill="1" applyBorder="1" applyAlignment="1">
      <alignment horizontal="left" vertical="center"/>
    </xf>
    <xf numFmtId="0" fontId="27" fillId="9" borderId="1" xfId="0" applyFont="1" applyFill="1" applyBorder="1" applyAlignment="1">
      <alignment horizontal="left" vertical="center"/>
    </xf>
    <xf numFmtId="0" fontId="5" fillId="8" borderId="1" xfId="0" applyFont="1" applyFill="1" applyBorder="1" applyAlignment="1">
      <alignment horizontal="left" vertical="center"/>
    </xf>
    <xf numFmtId="168" fontId="45" fillId="15" borderId="0" xfId="0" applyNumberFormat="1" applyFont="1" applyFill="1" applyAlignment="1">
      <alignment horizontal="center"/>
    </xf>
    <xf numFmtId="169" fontId="59" fillId="3" borderId="1" xfId="0" applyNumberFormat="1" applyFont="1" applyFill="1" applyBorder="1" applyAlignment="1">
      <alignment horizontal="center"/>
    </xf>
    <xf numFmtId="169" fontId="44" fillId="3" borderId="1" xfId="0" applyNumberFormat="1" applyFont="1" applyFill="1" applyBorder="1" applyAlignment="1">
      <alignment horizontal="center"/>
    </xf>
    <xf numFmtId="169" fontId="45" fillId="13" borderId="0" xfId="0" applyNumberFormat="1" applyFont="1" applyFill="1" applyAlignment="1">
      <alignment horizontal="center"/>
    </xf>
    <xf numFmtId="0" fontId="5" fillId="10" borderId="14" xfId="0" applyFont="1" applyFill="1" applyBorder="1" applyAlignment="1">
      <alignment horizontal="center" vertical="center" wrapText="1"/>
    </xf>
    <xf numFmtId="0" fontId="19" fillId="13" borderId="1" xfId="0" applyFont="1" applyFill="1" applyBorder="1" applyAlignment="1">
      <alignment horizontal="center" vertical="center"/>
    </xf>
    <xf numFmtId="0" fontId="19" fillId="9" borderId="1" xfId="0" applyFont="1" applyFill="1" applyBorder="1" applyAlignment="1">
      <alignment horizontal="center" vertical="center"/>
    </xf>
    <xf numFmtId="0" fontId="63" fillId="23" borderId="1" xfId="0" applyFont="1" applyFill="1" applyBorder="1" applyAlignment="1">
      <alignment horizontal="center" vertical="center"/>
    </xf>
    <xf numFmtId="0" fontId="63" fillId="15" borderId="1" xfId="0" applyFont="1" applyFill="1" applyBorder="1" applyAlignment="1">
      <alignment horizontal="center" vertical="center"/>
    </xf>
    <xf numFmtId="0" fontId="64" fillId="3" borderId="1" xfId="0" applyFont="1" applyFill="1" applyBorder="1" applyAlignment="1">
      <alignment horizontal="center" vertical="center"/>
    </xf>
    <xf numFmtId="0" fontId="65" fillId="13" borderId="1" xfId="0" applyFont="1" applyFill="1" applyBorder="1" applyAlignment="1">
      <alignment horizontal="center" vertical="center"/>
    </xf>
    <xf numFmtId="0" fontId="66" fillId="13" borderId="0" xfId="0" applyFont="1" applyFill="1"/>
    <xf numFmtId="0" fontId="5" fillId="4" borderId="14" xfId="0" applyFont="1" applyFill="1" applyBorder="1" applyAlignment="1">
      <alignment horizontal="left" vertical="center"/>
    </xf>
    <xf numFmtId="0" fontId="5" fillId="4" borderId="14" xfId="0" applyFont="1" applyFill="1" applyBorder="1" applyAlignment="1">
      <alignment horizontal="center" vertical="center"/>
    </xf>
    <xf numFmtId="165" fontId="42" fillId="3" borderId="1" xfId="0" applyNumberFormat="1" applyFont="1" applyFill="1" applyBorder="1" applyAlignment="1">
      <alignment horizontal="center" vertical="center"/>
    </xf>
    <xf numFmtId="0" fontId="56" fillId="9" borderId="1" xfId="0" applyFont="1" applyFill="1" applyBorder="1" applyAlignment="1">
      <alignment horizontal="left" vertical="center"/>
    </xf>
    <xf numFmtId="0" fontId="56" fillId="13" borderId="1" xfId="0" applyFont="1" applyFill="1" applyBorder="1" applyAlignment="1">
      <alignment horizontal="left" vertical="center"/>
    </xf>
    <xf numFmtId="3" fontId="42" fillId="3" borderId="1" xfId="0" applyNumberFormat="1" applyFont="1" applyFill="1" applyBorder="1" applyAlignment="1">
      <alignment horizontal="center" vertical="center"/>
    </xf>
    <xf numFmtId="9" fontId="42" fillId="3" borderId="1" xfId="0" applyNumberFormat="1" applyFont="1" applyFill="1" applyBorder="1" applyAlignment="1">
      <alignment horizontal="center" vertical="center"/>
    </xf>
    <xf numFmtId="170" fontId="6" fillId="9" borderId="1" xfId="0" applyNumberFormat="1" applyFont="1" applyFill="1" applyBorder="1" applyAlignment="1">
      <alignment horizontal="center"/>
    </xf>
    <xf numFmtId="170" fontId="22" fillId="9" borderId="1" xfId="0" applyNumberFormat="1" applyFont="1" applyFill="1" applyBorder="1" applyAlignment="1">
      <alignment horizontal="center"/>
    </xf>
    <xf numFmtId="170" fontId="6" fillId="13" borderId="1" xfId="0" applyNumberFormat="1" applyFont="1" applyFill="1" applyBorder="1" applyAlignment="1">
      <alignment horizontal="center"/>
    </xf>
    <xf numFmtId="170" fontId="22" fillId="13" borderId="1" xfId="0" applyNumberFormat="1" applyFont="1" applyFill="1" applyBorder="1" applyAlignment="1">
      <alignment horizont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67" fillId="2" borderId="1" xfId="0" applyFont="1" applyFill="1" applyBorder="1" applyAlignment="1">
      <alignment horizontal="left" vertical="center"/>
    </xf>
    <xf numFmtId="170" fontId="5" fillId="2" borderId="1" xfId="0" applyNumberFormat="1" applyFont="1" applyFill="1" applyBorder="1" applyAlignment="1">
      <alignment horizontal="center"/>
    </xf>
    <xf numFmtId="168" fontId="5" fillId="2" borderId="1" xfId="0" applyNumberFormat="1" applyFont="1" applyFill="1" applyBorder="1" applyAlignment="1">
      <alignment horizontal="center"/>
    </xf>
    <xf numFmtId="0" fontId="0" fillId="2" borderId="0" xfId="0" applyFill="1"/>
    <xf numFmtId="0" fontId="53" fillId="13" borderId="1" xfId="0" applyFont="1" applyFill="1" applyBorder="1" applyAlignment="1">
      <alignment horizontal="left" vertical="center"/>
    </xf>
    <xf numFmtId="0" fontId="5" fillId="11" borderId="14"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41" fillId="12" borderId="1" xfId="0" applyFont="1" applyFill="1" applyBorder="1" applyAlignment="1">
      <alignment horizontal="center" vertical="center"/>
    </xf>
    <xf numFmtId="1" fontId="43" fillId="17" borderId="1" xfId="0" applyNumberFormat="1" applyFont="1" applyFill="1" applyBorder="1" applyAlignment="1">
      <alignment horizontal="center" vertical="center"/>
    </xf>
    <xf numFmtId="0" fontId="45" fillId="17" borderId="1" xfId="0" applyFont="1" applyFill="1" applyBorder="1" applyAlignment="1">
      <alignment horizontal="center" vertical="center"/>
    </xf>
    <xf numFmtId="0" fontId="6" fillId="9" borderId="1" xfId="0" applyFont="1" applyFill="1" applyBorder="1" applyAlignment="1">
      <alignment horizontal="left" vertical="center" wrapText="1"/>
    </xf>
    <xf numFmtId="1" fontId="43" fillId="24" borderId="1" xfId="0" applyNumberFormat="1" applyFont="1" applyFill="1" applyBorder="1" applyAlignment="1">
      <alignment horizontal="center" vertical="center"/>
    </xf>
    <xf numFmtId="0" fontId="45" fillId="24" borderId="1" xfId="0" applyFont="1" applyFill="1" applyBorder="1" applyAlignment="1">
      <alignment horizontal="center" vertical="center"/>
    </xf>
    <xf numFmtId="0" fontId="41" fillId="17" borderId="1" xfId="0" applyFont="1" applyFill="1" applyBorder="1" applyAlignment="1">
      <alignment horizontal="center" vertical="center"/>
    </xf>
    <xf numFmtId="1" fontId="43" fillId="18" borderId="1" xfId="0" applyNumberFormat="1" applyFont="1" applyFill="1" applyBorder="1" applyAlignment="1">
      <alignment horizontal="center" vertical="center"/>
    </xf>
    <xf numFmtId="0" fontId="45" fillId="18" borderId="1" xfId="0" applyFont="1" applyFill="1" applyBorder="1" applyAlignment="1">
      <alignment horizontal="center" vertical="center"/>
    </xf>
    <xf numFmtId="0" fontId="4" fillId="13" borderId="14" xfId="0" applyFont="1" applyFill="1" applyBorder="1" applyAlignment="1">
      <alignment horizontal="center" vertical="center"/>
    </xf>
    <xf numFmtId="0" fontId="73" fillId="13" borderId="14" xfId="0" applyFont="1" applyFill="1" applyBorder="1" applyAlignment="1">
      <alignment horizontal="center" vertical="center"/>
    </xf>
    <xf numFmtId="0" fontId="55" fillId="2" borderId="14" xfId="0" applyFont="1" applyFill="1" applyBorder="1" applyAlignment="1">
      <alignment horizontal="center" vertical="center" wrapText="1"/>
    </xf>
    <xf numFmtId="0" fontId="53" fillId="25" borderId="1" xfId="0" applyFont="1" applyFill="1" applyBorder="1" applyAlignment="1">
      <alignment horizontal="center" vertical="center" wrapText="1"/>
    </xf>
    <xf numFmtId="0" fontId="53" fillId="26" borderId="1" xfId="0" applyFont="1" applyFill="1" applyBorder="1" applyAlignment="1">
      <alignment horizontal="center" vertical="center" wrapText="1"/>
    </xf>
    <xf numFmtId="0" fontId="53" fillId="27" borderId="1" xfId="0" applyFont="1" applyFill="1" applyBorder="1" applyAlignment="1">
      <alignment horizontal="center" vertical="center" wrapText="1"/>
    </xf>
    <xf numFmtId="0" fontId="53" fillId="28" borderId="1" xfId="0" applyFont="1" applyFill="1" applyBorder="1" applyAlignment="1">
      <alignment horizontal="center" vertical="center" wrapText="1"/>
    </xf>
    <xf numFmtId="0" fontId="12" fillId="20" borderId="1" xfId="0" applyFont="1" applyFill="1" applyBorder="1" applyAlignment="1">
      <alignment horizontal="center" vertical="center"/>
    </xf>
    <xf numFmtId="0" fontId="61" fillId="20" borderId="1" xfId="0" applyFont="1" applyFill="1" applyBorder="1" applyAlignment="1">
      <alignment horizontal="left" vertical="center"/>
    </xf>
    <xf numFmtId="0" fontId="41" fillId="20" borderId="1" xfId="0" applyFont="1" applyFill="1" applyBorder="1" applyAlignment="1">
      <alignment horizontal="left" vertical="center"/>
    </xf>
    <xf numFmtId="2" fontId="43" fillId="20" borderId="1" xfId="0" applyNumberFormat="1" applyFont="1" applyFill="1" applyBorder="1" applyAlignment="1">
      <alignment horizontal="center"/>
    </xf>
    <xf numFmtId="0" fontId="27" fillId="20" borderId="1" xfId="0" applyFont="1" applyFill="1" applyBorder="1" applyAlignment="1">
      <alignment horizontal="left" vertical="center"/>
    </xf>
    <xf numFmtId="0" fontId="13" fillId="14" borderId="1" xfId="0" applyFont="1" applyFill="1" applyBorder="1" applyAlignment="1">
      <alignment horizontal="center" vertical="center"/>
    </xf>
    <xf numFmtId="0" fontId="61" fillId="14" borderId="1" xfId="0" applyFont="1" applyFill="1" applyBorder="1" applyAlignment="1">
      <alignment horizontal="left" vertical="center"/>
    </xf>
    <xf numFmtId="0" fontId="41" fillId="14" borderId="1" xfId="0" applyFont="1" applyFill="1" applyBorder="1" applyAlignment="1">
      <alignment horizontal="left" vertical="center"/>
    </xf>
    <xf numFmtId="2" fontId="43" fillId="14" borderId="1" xfId="0" applyNumberFormat="1" applyFont="1" applyFill="1" applyBorder="1" applyAlignment="1">
      <alignment horizontal="center"/>
    </xf>
    <xf numFmtId="0" fontId="27" fillId="14" borderId="1" xfId="0" applyFont="1" applyFill="1" applyBorder="1" applyAlignment="1">
      <alignment horizontal="left" vertical="center"/>
    </xf>
    <xf numFmtId="0" fontId="14" fillId="15" borderId="1" xfId="0" applyFont="1" applyFill="1" applyBorder="1" applyAlignment="1">
      <alignment horizontal="center" vertical="center"/>
    </xf>
    <xf numFmtId="0" fontId="61" fillId="15" borderId="1" xfId="0" applyFont="1" applyFill="1" applyBorder="1" applyAlignment="1">
      <alignment horizontal="left" vertical="center"/>
    </xf>
    <xf numFmtId="0" fontId="41" fillId="15" borderId="1" xfId="0" applyFont="1" applyFill="1" applyBorder="1" applyAlignment="1">
      <alignment horizontal="left" vertical="center"/>
    </xf>
    <xf numFmtId="2" fontId="43" fillId="15" borderId="1" xfId="0" applyNumberFormat="1" applyFont="1" applyFill="1" applyBorder="1" applyAlignment="1">
      <alignment horizontal="center"/>
    </xf>
    <xf numFmtId="0" fontId="27" fillId="15" borderId="1" xfId="0" applyFont="1" applyFill="1" applyBorder="1" applyAlignment="1">
      <alignment horizontal="left" vertical="center"/>
    </xf>
    <xf numFmtId="0" fontId="15" fillId="16" borderId="1" xfId="0" applyFont="1" applyFill="1" applyBorder="1" applyAlignment="1">
      <alignment horizontal="center" vertical="center"/>
    </xf>
    <xf numFmtId="0" fontId="61" fillId="16" borderId="1" xfId="0" applyFont="1" applyFill="1" applyBorder="1" applyAlignment="1">
      <alignment horizontal="left" vertical="center"/>
    </xf>
    <xf numFmtId="0" fontId="41" fillId="16" borderId="1" xfId="0" applyFont="1" applyFill="1" applyBorder="1" applyAlignment="1">
      <alignment horizontal="left" vertical="center"/>
    </xf>
    <xf numFmtId="2" fontId="43" fillId="16" borderId="1" xfId="0" applyNumberFormat="1" applyFont="1" applyFill="1" applyBorder="1" applyAlignment="1">
      <alignment horizontal="center"/>
    </xf>
    <xf numFmtId="0" fontId="27" fillId="16" borderId="1" xfId="0" applyFont="1" applyFill="1" applyBorder="1" applyAlignment="1">
      <alignment horizontal="left" vertical="center"/>
    </xf>
    <xf numFmtId="0" fontId="74" fillId="12" borderId="1" xfId="0" applyFont="1" applyFill="1" applyBorder="1" applyAlignment="1">
      <alignment horizontal="center" vertical="center"/>
    </xf>
    <xf numFmtId="0" fontId="61" fillId="12" borderId="1" xfId="0" applyFont="1" applyFill="1" applyBorder="1" applyAlignment="1">
      <alignment horizontal="left" vertical="center"/>
    </xf>
    <xf numFmtId="0" fontId="41" fillId="12" borderId="1" xfId="0" applyFont="1" applyFill="1" applyBorder="1" applyAlignment="1">
      <alignment horizontal="left" vertical="center"/>
    </xf>
    <xf numFmtId="2" fontId="43" fillId="12" borderId="1" xfId="0" applyNumberFormat="1" applyFont="1" applyFill="1" applyBorder="1" applyAlignment="1">
      <alignment horizontal="center"/>
    </xf>
    <xf numFmtId="0" fontId="45" fillId="12" borderId="1" xfId="0" applyFont="1" applyFill="1" applyBorder="1" applyAlignment="1">
      <alignment horizontal="center"/>
    </xf>
    <xf numFmtId="0" fontId="27" fillId="12" borderId="1" xfId="0" applyFont="1" applyFill="1" applyBorder="1" applyAlignment="1">
      <alignment horizontal="left" vertical="center"/>
    </xf>
    <xf numFmtId="0" fontId="83" fillId="13" borderId="1" xfId="0" applyFont="1" applyFill="1" applyBorder="1" applyAlignment="1">
      <alignment horizontal="center" vertical="center"/>
    </xf>
    <xf numFmtId="2" fontId="45" fillId="14" borderId="1" xfId="0" applyNumberFormat="1" applyFont="1" applyFill="1" applyBorder="1" applyAlignment="1">
      <alignment horizontal="center"/>
    </xf>
    <xf numFmtId="0" fontId="83" fillId="9" borderId="1" xfId="0" applyFont="1" applyFill="1" applyBorder="1" applyAlignment="1">
      <alignment horizontal="center" vertical="center"/>
    </xf>
    <xf numFmtId="2" fontId="45" fillId="15" borderId="1" xfId="0" applyNumberFormat="1" applyFont="1" applyFill="1" applyBorder="1" applyAlignment="1">
      <alignment horizontal="center"/>
    </xf>
    <xf numFmtId="0" fontId="84" fillId="9" borderId="1" xfId="0" applyFont="1" applyFill="1" applyBorder="1" applyAlignment="1">
      <alignment horizontal="center" vertical="center"/>
    </xf>
    <xf numFmtId="0" fontId="84" fillId="13" borderId="1" xfId="0" applyFont="1" applyFill="1" applyBorder="1" applyAlignment="1">
      <alignment horizontal="center" vertical="center"/>
    </xf>
    <xf numFmtId="0" fontId="16" fillId="24" borderId="1" xfId="0" applyFont="1" applyFill="1" applyBorder="1" applyAlignment="1">
      <alignment horizontal="center" vertical="center"/>
    </xf>
    <xf numFmtId="0" fontId="22" fillId="24" borderId="1"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5" fillId="4" borderId="9" xfId="0" applyFont="1" applyFill="1" applyBorder="1" applyAlignment="1">
      <alignment horizontal="center" vertical="top"/>
    </xf>
    <xf numFmtId="0" fontId="86" fillId="20" borderId="17" xfId="0" applyFont="1" applyFill="1" applyBorder="1" applyAlignment="1">
      <alignment horizontal="center" vertical="top" wrapText="1"/>
    </xf>
    <xf numFmtId="0" fontId="86" fillId="20" borderId="1" xfId="0" applyFont="1" applyFill="1" applyBorder="1" applyAlignment="1">
      <alignment horizontal="left" vertical="top" wrapText="1"/>
    </xf>
    <xf numFmtId="0" fontId="22" fillId="9" borderId="3" xfId="0" applyFont="1" applyFill="1" applyBorder="1" applyAlignment="1">
      <alignment horizontal="left" vertical="top" wrapText="1"/>
    </xf>
    <xf numFmtId="0" fontId="87" fillId="3" borderId="1" xfId="0" applyFont="1" applyFill="1" applyBorder="1" applyAlignment="1">
      <alignment horizontal="left" vertical="top" wrapText="1"/>
    </xf>
    <xf numFmtId="0" fontId="88" fillId="14" borderId="18" xfId="0" applyFont="1" applyFill="1" applyBorder="1" applyAlignment="1">
      <alignment horizontal="left" vertical="top" wrapText="1"/>
    </xf>
    <xf numFmtId="0" fontId="89" fillId="14" borderId="1" xfId="0" applyFont="1" applyFill="1" applyBorder="1" applyAlignment="1">
      <alignment horizontal="left" vertical="top" wrapText="1"/>
    </xf>
    <xf numFmtId="0" fontId="37" fillId="15" borderId="19" xfId="0" applyFont="1" applyFill="1" applyBorder="1" applyAlignment="1">
      <alignment horizontal="center" vertical="top" wrapText="1"/>
    </xf>
    <xf numFmtId="0" fontId="15" fillId="16" borderId="1" xfId="0" applyFont="1" applyFill="1" applyBorder="1" applyAlignment="1">
      <alignment horizontal="left" vertical="top" wrapText="1"/>
    </xf>
    <xf numFmtId="0" fontId="36" fillId="17" borderId="20" xfId="0" applyFont="1" applyFill="1" applyBorder="1" applyAlignment="1">
      <alignment horizontal="left" vertical="top" wrapText="1"/>
    </xf>
    <xf numFmtId="0" fontId="39" fillId="14" borderId="18" xfId="0" applyFont="1" applyFill="1" applyBorder="1" applyAlignment="1">
      <alignment horizontal="center" vertical="top" wrapText="1"/>
    </xf>
    <xf numFmtId="0" fontId="58" fillId="16" borderId="21" xfId="0" applyFont="1" applyFill="1" applyBorder="1" applyAlignment="1">
      <alignment horizontal="center" vertical="top" wrapText="1"/>
    </xf>
    <xf numFmtId="0" fontId="5" fillId="6" borderId="22" xfId="0" applyFont="1" applyFill="1" applyBorder="1" applyAlignment="1">
      <alignment horizontal="center" vertical="top"/>
    </xf>
    <xf numFmtId="0" fontId="62" fillId="12" borderId="1" xfId="0" applyFont="1" applyFill="1" applyBorder="1" applyAlignment="1">
      <alignment horizontal="left" vertical="top" wrapText="1"/>
    </xf>
    <xf numFmtId="0" fontId="5" fillId="7" borderId="23" xfId="0" applyFont="1" applyFill="1" applyBorder="1" applyAlignment="1">
      <alignment horizontal="center" vertical="top"/>
    </xf>
    <xf numFmtId="0" fontId="58" fillId="16" borderId="1" xfId="0" applyFont="1" applyFill="1" applyBorder="1" applyAlignment="1">
      <alignment horizontal="left" vertical="top" wrapText="1"/>
    </xf>
    <xf numFmtId="0" fontId="5" fillId="10" borderId="24" xfId="0" applyFont="1" applyFill="1" applyBorder="1" applyAlignment="1">
      <alignment horizontal="center" vertical="top"/>
    </xf>
    <xf numFmtId="0" fontId="39" fillId="14" borderId="1" xfId="0" applyFont="1" applyFill="1" applyBorder="1" applyAlignment="1">
      <alignment horizontal="left" vertical="top" wrapText="1"/>
    </xf>
    <xf numFmtId="0" fontId="5" fillId="8" borderId="25" xfId="0" applyFont="1" applyFill="1" applyBorder="1" applyAlignment="1">
      <alignment horizontal="center" vertical="top"/>
    </xf>
    <xf numFmtId="0" fontId="37" fillId="15" borderId="1" xfId="0" applyFont="1" applyFill="1" applyBorder="1" applyAlignment="1">
      <alignment horizontal="left" vertical="top" wrapText="1"/>
    </xf>
    <xf numFmtId="0" fontId="5" fillId="21" borderId="26" xfId="0" applyFont="1" applyFill="1" applyBorder="1" applyAlignment="1">
      <alignment horizontal="center" vertical="top"/>
    </xf>
    <xf numFmtId="0" fontId="90" fillId="30" borderId="1" xfId="0" applyFont="1" applyFill="1" applyBorder="1" applyAlignment="1">
      <alignment horizontal="left" vertical="top" wrapText="1"/>
    </xf>
    <xf numFmtId="0" fontId="5" fillId="2" borderId="27" xfId="0" applyFont="1" applyFill="1" applyBorder="1" applyAlignment="1">
      <alignment horizontal="center" vertical="top"/>
    </xf>
    <xf numFmtId="0" fontId="91" fillId="3" borderId="1" xfId="0" applyFont="1" applyFill="1" applyBorder="1" applyAlignment="1">
      <alignment horizontal="left" vertical="top" wrapText="1"/>
    </xf>
    <xf numFmtId="0" fontId="5" fillId="11" borderId="28" xfId="0" applyFont="1" applyFill="1" applyBorder="1" applyAlignment="1">
      <alignment horizontal="center" vertical="top"/>
    </xf>
    <xf numFmtId="0" fontId="36" fillId="17" borderId="1" xfId="0" applyFont="1" applyFill="1" applyBorder="1" applyAlignment="1">
      <alignment horizontal="left" vertical="top" wrapText="1"/>
    </xf>
    <xf numFmtId="0" fontId="5" fillId="22" borderId="29" xfId="0" applyFont="1" applyFill="1" applyBorder="1" applyAlignment="1">
      <alignment horizontal="center" vertical="top"/>
    </xf>
    <xf numFmtId="0" fontId="92" fillId="13" borderId="1" xfId="0" applyFont="1" applyFill="1" applyBorder="1" applyAlignment="1">
      <alignment horizontal="left" vertical="top" wrapText="1"/>
    </xf>
    <xf numFmtId="0" fontId="4" fillId="4" borderId="3" xfId="0" applyFont="1" applyFill="1" applyBorder="1" applyAlignment="1">
      <alignment horizontal="left" vertical="center" wrapText="1"/>
    </xf>
    <xf numFmtId="0" fontId="12" fillId="3" borderId="4" xfId="0" applyFont="1" applyFill="1" applyBorder="1" applyAlignment="1">
      <alignment horizontal="left" vertical="top" wrapText="1"/>
    </xf>
    <xf numFmtId="0" fontId="13" fillId="14" borderId="5" xfId="0" applyFont="1" applyFill="1" applyBorder="1" applyAlignment="1">
      <alignment horizontal="left" vertical="top" wrapText="1"/>
    </xf>
    <xf numFmtId="0" fontId="14" fillId="15" borderId="6" xfId="0" applyFont="1" applyFill="1" applyBorder="1" applyAlignment="1">
      <alignment horizontal="left" vertical="top" wrapText="1"/>
    </xf>
    <xf numFmtId="0" fontId="15" fillId="16" borderId="7" xfId="0" applyFont="1" applyFill="1" applyBorder="1" applyAlignment="1">
      <alignment horizontal="left" vertical="top" wrapText="1"/>
    </xf>
    <xf numFmtId="0" fontId="7" fillId="2" borderId="3" xfId="0" applyFont="1" applyFill="1" applyBorder="1" applyAlignment="1">
      <alignment horizontal="left" vertical="center" wrapText="1"/>
    </xf>
    <xf numFmtId="0" fontId="5" fillId="4" borderId="8" xfId="0" applyFont="1" applyFill="1" applyBorder="1" applyAlignment="1">
      <alignment horizontal="center" vertical="center" wrapText="1"/>
    </xf>
    <xf numFmtId="0" fontId="27" fillId="13" borderId="2" xfId="0" applyFont="1" applyFill="1" applyBorder="1" applyAlignment="1">
      <alignment horizontal="left" vertical="top" wrapText="1"/>
    </xf>
    <xf numFmtId="0" fontId="27" fillId="9" borderId="2" xfId="0" applyFont="1" applyFill="1" applyBorder="1" applyAlignment="1">
      <alignment horizontal="left" vertical="top" wrapText="1"/>
    </xf>
    <xf numFmtId="0" fontId="7" fillId="6" borderId="2" xfId="0" applyFont="1" applyFill="1" applyBorder="1" applyAlignment="1">
      <alignment horizontal="left" vertical="center"/>
    </xf>
    <xf numFmtId="0" fontId="35" fillId="12" borderId="10" xfId="0" applyFont="1" applyFill="1" applyBorder="1" applyAlignment="1">
      <alignment horizontal="left" vertical="center" wrapText="1"/>
    </xf>
    <xf numFmtId="164" fontId="10" fillId="6" borderId="0" xfId="0" applyNumberFormat="1" applyFont="1" applyFill="1" applyAlignment="1">
      <alignment horizontal="center" vertical="center"/>
    </xf>
    <xf numFmtId="0" fontId="4" fillId="6" borderId="0" xfId="0" applyFont="1" applyFill="1" applyAlignment="1">
      <alignment horizontal="center" vertical="center"/>
    </xf>
    <xf numFmtId="0" fontId="36" fillId="17" borderId="11" xfId="0" applyFont="1" applyFill="1" applyBorder="1" applyAlignment="1">
      <alignment horizontal="center" vertical="center"/>
    </xf>
    <xf numFmtId="0" fontId="37" fillId="15" borderId="6" xfId="0" applyFont="1" applyFill="1" applyBorder="1" applyAlignment="1">
      <alignment horizontal="center" vertical="center"/>
    </xf>
    <xf numFmtId="0" fontId="38" fillId="18" borderId="12" xfId="0" applyFont="1" applyFill="1" applyBorder="1" applyAlignment="1">
      <alignment horizontal="center" vertical="center"/>
    </xf>
    <xf numFmtId="0" fontId="39" fillId="14" borderId="5" xfId="0" applyFont="1" applyFill="1" applyBorder="1" applyAlignment="1">
      <alignment horizontal="center" vertical="center"/>
    </xf>
    <xf numFmtId="0" fontId="40" fillId="19" borderId="13" xfId="0" applyFont="1" applyFill="1" applyBorder="1" applyAlignment="1">
      <alignment horizontal="center" vertical="center"/>
    </xf>
    <xf numFmtId="0" fontId="10" fillId="2" borderId="0" xfId="0" applyFont="1" applyFill="1" applyAlignment="1">
      <alignment horizontal="center" vertical="center"/>
    </xf>
    <xf numFmtId="0" fontId="4" fillId="4" borderId="0" xfId="0" applyFont="1" applyFill="1" applyAlignment="1">
      <alignment horizontal="left" vertical="center"/>
    </xf>
    <xf numFmtId="0" fontId="22" fillId="13" borderId="1" xfId="0" applyFont="1" applyFill="1" applyBorder="1" applyAlignment="1">
      <alignment horizontal="left" vertical="center"/>
    </xf>
    <xf numFmtId="0" fontId="17" fillId="15" borderId="0" xfId="0" applyFont="1" applyFill="1" applyAlignment="1">
      <alignment horizontal="left" vertical="center" wrapText="1"/>
    </xf>
    <xf numFmtId="0" fontId="7" fillId="2" borderId="14" xfId="0" applyFont="1" applyFill="1" applyBorder="1" applyAlignment="1">
      <alignment horizontal="left" vertical="center"/>
    </xf>
    <xf numFmtId="0" fontId="4" fillId="2" borderId="2" xfId="0" applyFont="1" applyFill="1" applyBorder="1" applyAlignment="1">
      <alignment horizontal="left" vertical="center"/>
    </xf>
    <xf numFmtId="0" fontId="10" fillId="21" borderId="0" xfId="0" applyFont="1" applyFill="1" applyAlignment="1">
      <alignment horizontal="center" vertical="center"/>
    </xf>
    <xf numFmtId="0" fontId="27" fillId="15" borderId="0" xfId="0" applyFont="1" applyFill="1" applyAlignment="1">
      <alignment horizontal="left" vertical="center"/>
    </xf>
    <xf numFmtId="0" fontId="46" fillId="3" borderId="0" xfId="0" applyFont="1" applyFill="1" applyAlignment="1">
      <alignment horizontal="left" vertical="center" wrapText="1"/>
    </xf>
    <xf numFmtId="0" fontId="7" fillId="4" borderId="14" xfId="0" applyFont="1" applyFill="1" applyBorder="1" applyAlignment="1">
      <alignment horizontal="left" vertical="center"/>
    </xf>
    <xf numFmtId="0" fontId="5" fillId="4" borderId="14"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4" fillId="4" borderId="2" xfId="0" applyFont="1" applyFill="1" applyBorder="1" applyAlignment="1">
      <alignment horizontal="left" vertical="center"/>
    </xf>
    <xf numFmtId="2" fontId="7" fillId="4" borderId="14" xfId="0" applyNumberFormat="1" applyFont="1" applyFill="1" applyBorder="1" applyAlignment="1">
      <alignment horizontal="center"/>
    </xf>
    <xf numFmtId="0" fontId="7" fillId="6" borderId="14" xfId="0" applyFont="1" applyFill="1" applyBorder="1" applyAlignment="1">
      <alignment horizontal="left" vertical="center"/>
    </xf>
    <xf numFmtId="0" fontId="5" fillId="6" borderId="14" xfId="0" applyFont="1" applyFill="1" applyBorder="1" applyAlignment="1">
      <alignment horizontal="center" vertical="center" wrapText="1"/>
    </xf>
    <xf numFmtId="0" fontId="4" fillId="6" borderId="2" xfId="0" applyFont="1" applyFill="1" applyBorder="1" applyAlignment="1">
      <alignment horizontal="left" vertical="center"/>
    </xf>
    <xf numFmtId="2" fontId="7" fillId="6" borderId="14" xfId="0" applyNumberFormat="1" applyFont="1" applyFill="1" applyBorder="1" applyAlignment="1">
      <alignment horizontal="center"/>
    </xf>
    <xf numFmtId="0" fontId="7" fillId="7" borderId="14" xfId="0" applyFont="1" applyFill="1" applyBorder="1" applyAlignment="1">
      <alignment horizontal="left" vertical="center"/>
    </xf>
    <xf numFmtId="0" fontId="5" fillId="7" borderId="14" xfId="0" applyFont="1" applyFill="1" applyBorder="1" applyAlignment="1">
      <alignment horizontal="center" vertical="center" wrapText="1"/>
    </xf>
    <xf numFmtId="0" fontId="47" fillId="16" borderId="1" xfId="0" applyFont="1" applyFill="1" applyBorder="1" applyAlignment="1">
      <alignment horizontal="center" vertical="center" wrapText="1"/>
    </xf>
    <xf numFmtId="0" fontId="4" fillId="7" borderId="2" xfId="0" applyFont="1" applyFill="1" applyBorder="1" applyAlignment="1">
      <alignment horizontal="left" vertical="center"/>
    </xf>
    <xf numFmtId="2" fontId="7" fillId="7" borderId="14" xfId="0" applyNumberFormat="1" applyFont="1" applyFill="1" applyBorder="1" applyAlignment="1">
      <alignment horizontal="center"/>
    </xf>
    <xf numFmtId="0" fontId="48" fillId="13" borderId="2" xfId="0" applyFont="1" applyFill="1" applyBorder="1" applyAlignment="1">
      <alignment horizontal="left" vertical="center"/>
    </xf>
    <xf numFmtId="2" fontId="49" fillId="3" borderId="14" xfId="0" applyNumberFormat="1" applyFont="1" applyFill="1" applyBorder="1" applyAlignment="1">
      <alignment horizontal="center"/>
    </xf>
    <xf numFmtId="0" fontId="50" fillId="15" borderId="14" xfId="0" applyFont="1" applyFill="1" applyBorder="1" applyAlignment="1">
      <alignment horizontal="center"/>
    </xf>
    <xf numFmtId="166" fontId="51" fillId="2" borderId="14" xfId="0" applyNumberFormat="1" applyFont="1" applyFill="1" applyBorder="1" applyAlignment="1">
      <alignment horizontal="center"/>
    </xf>
    <xf numFmtId="0" fontId="52" fillId="15" borderId="2" xfId="0" applyFont="1" applyFill="1" applyBorder="1" applyAlignment="1">
      <alignment horizontal="left" vertical="center"/>
    </xf>
    <xf numFmtId="0" fontId="5" fillId="2" borderId="14" xfId="0" applyFont="1" applyFill="1" applyBorder="1" applyAlignment="1">
      <alignment horizontal="center" vertical="center" wrapText="1"/>
    </xf>
    <xf numFmtId="0" fontId="41" fillId="14" borderId="2" xfId="0" applyFont="1" applyFill="1" applyBorder="1" applyAlignment="1">
      <alignment horizontal="left" vertical="center" wrapText="1"/>
    </xf>
    <xf numFmtId="0" fontId="53" fillId="14" borderId="2" xfId="0" applyFont="1" applyFill="1" applyBorder="1" applyAlignment="1">
      <alignment horizontal="left" vertical="center" wrapText="1"/>
    </xf>
    <xf numFmtId="0" fontId="27" fillId="14" borderId="2" xfId="0" applyFont="1" applyFill="1" applyBorder="1" applyAlignment="1">
      <alignment horizontal="left" vertical="center"/>
    </xf>
    <xf numFmtId="0" fontId="41" fillId="20" borderId="2" xfId="0" applyFont="1" applyFill="1" applyBorder="1" applyAlignment="1">
      <alignment horizontal="left" vertical="center" wrapText="1"/>
    </xf>
    <xf numFmtId="0" fontId="53" fillId="20" borderId="2" xfId="0" applyFont="1" applyFill="1" applyBorder="1" applyAlignment="1">
      <alignment horizontal="left" vertical="center" wrapText="1"/>
    </xf>
    <xf numFmtId="0" fontId="27" fillId="20" borderId="2" xfId="0" applyFont="1" applyFill="1" applyBorder="1" applyAlignment="1">
      <alignment horizontal="left" vertical="center"/>
    </xf>
    <xf numFmtId="0" fontId="41" fillId="15" borderId="2" xfId="0" applyFont="1" applyFill="1" applyBorder="1" applyAlignment="1">
      <alignment horizontal="left" vertical="center" wrapText="1"/>
    </xf>
    <xf numFmtId="0" fontId="53" fillId="15" borderId="2" xfId="0" applyFont="1" applyFill="1" applyBorder="1" applyAlignment="1">
      <alignment horizontal="left" vertical="center" wrapText="1"/>
    </xf>
    <xf numFmtId="0" fontId="27" fillId="15" borderId="2" xfId="0" applyFont="1" applyFill="1" applyBorder="1" applyAlignment="1">
      <alignment horizontal="left" vertical="center"/>
    </xf>
    <xf numFmtId="0" fontId="41" fillId="17" borderId="2" xfId="0" applyFont="1" applyFill="1" applyBorder="1" applyAlignment="1">
      <alignment horizontal="left" vertical="center" wrapText="1"/>
    </xf>
    <xf numFmtId="0" fontId="53" fillId="17" borderId="2" xfId="0" applyFont="1" applyFill="1" applyBorder="1" applyAlignment="1">
      <alignment horizontal="left" vertical="center" wrapText="1"/>
    </xf>
    <xf numFmtId="0" fontId="27" fillId="17" borderId="2" xfId="0" applyFont="1" applyFill="1" applyBorder="1" applyAlignment="1">
      <alignment horizontal="left" vertical="center"/>
    </xf>
    <xf numFmtId="0" fontId="54" fillId="12" borderId="0" xfId="0" applyFont="1" applyFill="1" applyAlignment="1">
      <alignment horizontal="left" vertical="center" wrapText="1"/>
    </xf>
    <xf numFmtId="0" fontId="7" fillId="10" borderId="14" xfId="0" applyFont="1" applyFill="1" applyBorder="1" applyAlignment="1">
      <alignment horizontal="left" vertical="center"/>
    </xf>
    <xf numFmtId="0" fontId="4" fillId="2" borderId="1" xfId="0" applyFont="1" applyFill="1" applyBorder="1" applyAlignment="1">
      <alignment horizontal="left" vertical="center"/>
    </xf>
    <xf numFmtId="0" fontId="7" fillId="21" borderId="14" xfId="0" applyFont="1" applyFill="1" applyBorder="1" applyAlignment="1">
      <alignment horizontal="left" vertical="center"/>
    </xf>
    <xf numFmtId="0" fontId="5" fillId="21" borderId="14" xfId="0" applyFont="1" applyFill="1" applyBorder="1" applyAlignment="1">
      <alignment horizontal="center" vertical="center" wrapText="1"/>
    </xf>
    <xf numFmtId="0" fontId="27" fillId="13" borderId="2" xfId="0" applyFont="1" applyFill="1" applyBorder="1" applyAlignment="1">
      <alignment horizontal="left" vertical="center"/>
    </xf>
    <xf numFmtId="0" fontId="27" fillId="9" borderId="2" xfId="0" applyFont="1" applyFill="1" applyBorder="1" applyAlignment="1">
      <alignment horizontal="left" vertical="center"/>
    </xf>
    <xf numFmtId="0" fontId="7" fillId="21" borderId="0" xfId="0" applyFont="1" applyFill="1" applyAlignment="1">
      <alignment horizontal="left" vertical="center"/>
    </xf>
    <xf numFmtId="0" fontId="46" fillId="15" borderId="0" xfId="0" applyFont="1" applyFill="1" applyAlignment="1">
      <alignment horizontal="left" vertical="center" wrapText="1"/>
    </xf>
    <xf numFmtId="0" fontId="5" fillId="8" borderId="14" xfId="0" applyFont="1" applyFill="1" applyBorder="1" applyAlignment="1">
      <alignment horizontal="center" vertical="center" wrapText="1"/>
    </xf>
    <xf numFmtId="0" fontId="5" fillId="22" borderId="14" xfId="0" applyFont="1" applyFill="1" applyBorder="1" applyAlignment="1">
      <alignment horizontal="center" vertical="center" wrapText="1"/>
    </xf>
    <xf numFmtId="0" fontId="41" fillId="13" borderId="1" xfId="0" applyFont="1" applyFill="1" applyBorder="1" applyAlignment="1">
      <alignment horizontal="left" vertical="top" wrapText="1"/>
    </xf>
    <xf numFmtId="0" fontId="41" fillId="3" borderId="1" xfId="0" applyFont="1" applyFill="1" applyBorder="1" applyAlignment="1">
      <alignment horizontal="left" vertical="top" wrapText="1"/>
    </xf>
    <xf numFmtId="0" fontId="41" fillId="12" borderId="1" xfId="0" applyFont="1" applyFill="1" applyBorder="1" applyAlignment="1">
      <alignment horizontal="left" vertical="top" wrapText="1"/>
    </xf>
    <xf numFmtId="0" fontId="41" fillId="15" borderId="1" xfId="0" applyFont="1" applyFill="1" applyBorder="1" applyAlignment="1">
      <alignment horizontal="left" vertical="top" wrapText="1"/>
    </xf>
    <xf numFmtId="0" fontId="41" fillId="16" borderId="1" xfId="0" applyFont="1" applyFill="1" applyBorder="1" applyAlignment="1">
      <alignment horizontal="left" vertical="top" wrapText="1"/>
    </xf>
    <xf numFmtId="0" fontId="27" fillId="13" borderId="1" xfId="0" applyFont="1" applyFill="1" applyBorder="1" applyAlignment="1">
      <alignment horizontal="left" vertical="top" wrapText="1"/>
    </xf>
    <xf numFmtId="0" fontId="41" fillId="9"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45" fillId="13" borderId="0" xfId="0" applyFont="1" applyFill="1" applyAlignment="1">
      <alignment horizontal="right" vertical="center"/>
    </xf>
    <xf numFmtId="0" fontId="7" fillId="8" borderId="14" xfId="0" applyFont="1" applyFill="1" applyBorder="1" applyAlignment="1">
      <alignment horizontal="left" vertical="center"/>
    </xf>
    <xf numFmtId="0" fontId="45" fillId="13" borderId="0" xfId="0" applyFont="1" applyFill="1"/>
    <xf numFmtId="0" fontId="5" fillId="4" borderId="14" xfId="0" applyFont="1" applyFill="1" applyBorder="1" applyAlignment="1">
      <alignment horizontal="left" vertical="center"/>
    </xf>
    <xf numFmtId="0" fontId="5" fillId="6" borderId="0" xfId="0" applyFont="1" applyFill="1" applyAlignment="1">
      <alignment horizontal="left" vertical="center"/>
    </xf>
    <xf numFmtId="0" fontId="56" fillId="9" borderId="1" xfId="0" applyFont="1" applyFill="1" applyBorder="1" applyAlignment="1">
      <alignment horizontal="left" vertical="center"/>
    </xf>
    <xf numFmtId="0" fontId="56" fillId="13" borderId="1" xfId="0" applyFont="1" applyFill="1" applyBorder="1" applyAlignment="1">
      <alignment horizontal="left" vertical="center"/>
    </xf>
    <xf numFmtId="0" fontId="5" fillId="4" borderId="0" xfId="0" applyFont="1" applyFill="1" applyAlignment="1">
      <alignment horizontal="center" vertical="center"/>
    </xf>
    <xf numFmtId="0" fontId="27" fillId="2" borderId="2" xfId="0" applyFont="1" applyFill="1" applyBorder="1" applyAlignment="1">
      <alignment horizontal="left" vertical="center"/>
    </xf>
    <xf numFmtId="0" fontId="5" fillId="10" borderId="0" xfId="0" applyFont="1" applyFill="1" applyAlignment="1">
      <alignment horizontal="center" vertical="center"/>
    </xf>
    <xf numFmtId="0" fontId="5" fillId="10" borderId="15" xfId="0" applyFont="1" applyFill="1" applyBorder="1" applyAlignment="1">
      <alignment horizontal="center" vertical="center"/>
    </xf>
    <xf numFmtId="0" fontId="5" fillId="11" borderId="15" xfId="0" applyFont="1" applyFill="1" applyBorder="1" applyAlignment="1">
      <alignment horizontal="center" vertical="center"/>
    </xf>
    <xf numFmtId="0" fontId="5" fillId="6" borderId="15" xfId="0" applyFont="1" applyFill="1" applyBorder="1" applyAlignment="1">
      <alignment horizontal="center" vertical="center"/>
    </xf>
    <xf numFmtId="0" fontId="5" fillId="8" borderId="15" xfId="0" applyFont="1" applyFill="1" applyBorder="1" applyAlignment="1">
      <alignment horizontal="center" vertical="center"/>
    </xf>
    <xf numFmtId="0" fontId="5" fillId="7" borderId="15" xfId="0" applyFont="1" applyFill="1" applyBorder="1" applyAlignment="1">
      <alignment horizontal="center" vertical="center"/>
    </xf>
    <xf numFmtId="0" fontId="5" fillId="2" borderId="15" xfId="0" applyFont="1" applyFill="1" applyBorder="1" applyAlignment="1">
      <alignment horizontal="center" vertical="center"/>
    </xf>
    <xf numFmtId="165" fontId="68" fillId="14" borderId="2" xfId="0" applyNumberFormat="1" applyFont="1" applyFill="1" applyBorder="1" applyAlignment="1">
      <alignment horizontal="center" vertical="center"/>
    </xf>
    <xf numFmtId="165" fontId="69" fillId="17" borderId="2" xfId="0" applyNumberFormat="1" applyFont="1" applyFill="1" applyBorder="1" applyAlignment="1">
      <alignment horizontal="center" vertical="center"/>
    </xf>
    <xf numFmtId="165" fontId="70" fillId="12" borderId="2" xfId="0" applyNumberFormat="1" applyFont="1" applyFill="1" applyBorder="1" applyAlignment="1">
      <alignment horizontal="center" vertical="center"/>
    </xf>
    <xf numFmtId="168" fontId="71" fillId="15" borderId="2" xfId="0" applyNumberFormat="1" applyFont="1" applyFill="1" applyBorder="1" applyAlignment="1">
      <alignment horizontal="center" vertical="center"/>
    </xf>
    <xf numFmtId="165" fontId="72" fillId="16" borderId="2" xfId="0" applyNumberFormat="1" applyFont="1" applyFill="1" applyBorder="1" applyAlignment="1">
      <alignment horizontal="center" vertical="center"/>
    </xf>
    <xf numFmtId="49" fontId="49" fillId="13" borderId="2" xfId="0" applyNumberFormat="1" applyFont="1" applyFill="1" applyBorder="1" applyAlignment="1">
      <alignment horizontal="center" vertical="center"/>
    </xf>
    <xf numFmtId="0" fontId="56" fillId="13" borderId="2" xfId="0" applyFont="1" applyFill="1" applyBorder="1" applyAlignment="1">
      <alignment horizontal="left" vertical="center"/>
    </xf>
    <xf numFmtId="0" fontId="3" fillId="13" borderId="14" xfId="0" applyFont="1" applyFill="1" applyBorder="1" applyAlignment="1">
      <alignment horizontal="center" vertical="center"/>
    </xf>
    <xf numFmtId="0" fontId="27" fillId="13" borderId="0" xfId="0" applyFont="1" applyFill="1" applyAlignment="1">
      <alignment horizontal="left" vertical="center"/>
    </xf>
    <xf numFmtId="0" fontId="5" fillId="4" borderId="0" xfId="0" applyFont="1" applyFill="1" applyAlignment="1">
      <alignment horizontal="left" vertical="center"/>
    </xf>
    <xf numFmtId="0" fontId="5" fillId="10" borderId="0" xfId="0" applyFont="1" applyFill="1" applyAlignment="1">
      <alignment horizontal="left" vertical="center"/>
    </xf>
    <xf numFmtId="0" fontId="5" fillId="8" borderId="0" xfId="0" applyFont="1" applyFill="1" applyAlignment="1">
      <alignment horizontal="left" vertical="center"/>
    </xf>
    <xf numFmtId="0" fontId="5" fillId="7" borderId="0" xfId="0" applyFont="1" applyFill="1" applyAlignment="1">
      <alignment horizontal="left" vertical="center"/>
    </xf>
    <xf numFmtId="0" fontId="75" fillId="16" borderId="2" xfId="0" applyFont="1" applyFill="1" applyBorder="1" applyAlignment="1">
      <alignment horizontal="left" vertical="center" wrapText="1"/>
    </xf>
    <xf numFmtId="0" fontId="75" fillId="12" borderId="2" xfId="0" applyFont="1" applyFill="1" applyBorder="1" applyAlignment="1">
      <alignment horizontal="left" vertical="center" wrapText="1"/>
    </xf>
    <xf numFmtId="0" fontId="75" fillId="15" borderId="2" xfId="0" applyFont="1" applyFill="1" applyBorder="1" applyAlignment="1">
      <alignment horizontal="left" vertical="center" wrapText="1"/>
    </xf>
    <xf numFmtId="0" fontId="75" fillId="14" borderId="2" xfId="0" applyFont="1" applyFill="1" applyBorder="1" applyAlignment="1">
      <alignment horizontal="left" vertical="center" wrapText="1"/>
    </xf>
    <xf numFmtId="0" fontId="75" fillId="20" borderId="2" xfId="0" applyFont="1" applyFill="1" applyBorder="1" applyAlignment="1">
      <alignment horizontal="left" vertical="center" wrapText="1"/>
    </xf>
    <xf numFmtId="0" fontId="75" fillId="13" borderId="2" xfId="0" applyFont="1" applyFill="1" applyBorder="1" applyAlignment="1">
      <alignment horizontal="left" vertical="center" wrapText="1"/>
    </xf>
    <xf numFmtId="0" fontId="7" fillId="2" borderId="0" xfId="0" applyFont="1" applyFill="1" applyAlignment="1">
      <alignment horizontal="left" vertical="center"/>
    </xf>
    <xf numFmtId="0" fontId="5" fillId="4" borderId="15" xfId="0" applyFont="1" applyFill="1" applyBorder="1" applyAlignment="1">
      <alignment horizontal="center" vertical="center"/>
    </xf>
    <xf numFmtId="0" fontId="76" fillId="29" borderId="2" xfId="0" applyFont="1" applyFill="1" applyBorder="1" applyAlignment="1">
      <alignment horizontal="center" vertical="center"/>
    </xf>
    <xf numFmtId="0" fontId="77" fillId="29" borderId="2" xfId="0" applyFont="1" applyFill="1" applyBorder="1" applyAlignment="1">
      <alignment horizontal="center" vertical="center"/>
    </xf>
    <xf numFmtId="0" fontId="78" fillId="29" borderId="2" xfId="0" applyFont="1" applyFill="1" applyBorder="1" applyAlignment="1">
      <alignment horizontal="center" vertical="center"/>
    </xf>
    <xf numFmtId="0" fontId="79" fillId="29" borderId="2" xfId="0" applyFont="1" applyFill="1" applyBorder="1" applyAlignment="1">
      <alignment horizontal="center" vertical="center"/>
    </xf>
    <xf numFmtId="0" fontId="80" fillId="29" borderId="2" xfId="0" applyFont="1" applyFill="1" applyBorder="1" applyAlignment="1">
      <alignment horizontal="center" vertical="center"/>
    </xf>
    <xf numFmtId="0" fontId="81" fillId="29" borderId="2" xfId="0" applyFont="1" applyFill="1" applyBorder="1" applyAlignment="1">
      <alignment horizontal="center" vertical="center"/>
    </xf>
    <xf numFmtId="0" fontId="82" fillId="13" borderId="2" xfId="0" applyFont="1" applyFill="1" applyBorder="1" applyAlignment="1">
      <alignment horizontal="center" vertical="center"/>
    </xf>
    <xf numFmtId="0" fontId="7" fillId="11" borderId="14" xfId="0" applyFont="1" applyFill="1" applyBorder="1" applyAlignment="1">
      <alignment horizontal="left" vertical="center"/>
    </xf>
    <xf numFmtId="0" fontId="41" fillId="13" borderId="2" xfId="0" applyFont="1" applyFill="1" applyBorder="1" applyAlignment="1">
      <alignment horizontal="left" vertical="center" wrapText="1"/>
    </xf>
    <xf numFmtId="0" fontId="41" fillId="9" borderId="2" xfId="0" applyFont="1" applyFill="1" applyBorder="1" applyAlignment="1">
      <alignment horizontal="left" vertical="center" wrapText="1"/>
    </xf>
    <xf numFmtId="0" fontId="10" fillId="6" borderId="0" xfId="0" applyFont="1" applyFill="1" applyAlignment="1">
      <alignment horizontal="center" vertical="center"/>
    </xf>
    <xf numFmtId="0" fontId="11" fillId="12" borderId="0" xfId="0" applyFont="1" applyFill="1" applyAlignment="1">
      <alignment horizontal="left" vertical="center"/>
    </xf>
    <xf numFmtId="0" fontId="85" fillId="4" borderId="16" xfId="0" applyFont="1" applyFill="1" applyBorder="1" applyAlignment="1">
      <alignment horizontal="left" vertical="center"/>
    </xf>
    <xf numFmtId="0" fontId="85" fillId="6" borderId="16" xfId="0" applyFont="1" applyFill="1" applyBorder="1" applyAlignment="1">
      <alignment horizontal="left" vertical="center"/>
    </xf>
    <xf numFmtId="0" fontId="85" fillId="7" borderId="16" xfId="0" applyFont="1" applyFill="1" applyBorder="1" applyAlignment="1">
      <alignment horizontal="left" vertical="center"/>
    </xf>
    <xf numFmtId="0" fontId="85" fillId="10" borderId="16" xfId="0" applyFont="1" applyFill="1" applyBorder="1" applyAlignment="1">
      <alignment horizontal="left" vertical="center"/>
    </xf>
    <xf numFmtId="0" fontId="85" fillId="8" borderId="16" xfId="0" applyFont="1" applyFill="1" applyBorder="1" applyAlignment="1">
      <alignment horizontal="left" vertical="center"/>
    </xf>
    <xf numFmtId="0" fontId="85" fillId="21" borderId="16" xfId="0" applyFont="1" applyFill="1" applyBorder="1" applyAlignment="1">
      <alignment horizontal="left" vertical="center"/>
    </xf>
    <xf numFmtId="0" fontId="85" fillId="2" borderId="16" xfId="0" applyFont="1" applyFill="1" applyBorder="1" applyAlignment="1">
      <alignment horizontal="left" vertical="center"/>
    </xf>
    <xf numFmtId="0" fontId="85" fillId="11" borderId="16" xfId="0" applyFont="1" applyFill="1" applyBorder="1" applyAlignment="1">
      <alignment horizontal="left" vertical="center"/>
    </xf>
    <xf numFmtId="0" fontId="85" fillId="22" borderId="16"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7F6000"/>
      <rgbColor rgb="FF800080"/>
      <rgbColor rgb="FF1F5C6B"/>
      <rgbColor rgb="FFBFBFBF"/>
      <rgbColor rgb="FF808080"/>
      <rgbColor rgb="FFE2EFDA"/>
      <rgbColor rgb="FF7030A0"/>
      <rgbColor rgb="FFFFFACD"/>
      <rgbColor rgb="FFDDEBF7"/>
      <rgbColor rgb="FF660066"/>
      <rgbColor rgb="FFFCE4D6"/>
      <rgbColor rgb="FF0066CC"/>
      <rgbColor rgb="FFBDD7EE"/>
      <rgbColor rgb="FF000080"/>
      <rgbColor rgb="FFFF00FF"/>
      <rgbColor rgb="FFFDE9D9"/>
      <rgbColor rgb="FF00FFFF"/>
      <rgbColor rgb="FF800080"/>
      <rgbColor rgb="FF800000"/>
      <rgbColor rgb="FF008080"/>
      <rgbColor rgb="FF0000FF"/>
      <rgbColor rgb="FF00CCFF"/>
      <rgbColor rgb="FFDEEAF1"/>
      <rgbColor rgb="FFC6EFCE"/>
      <rgbColor rgb="FFFFF2CC"/>
      <rgbColor rgb="FFD9D9D9"/>
      <rgbColor rgb="FFFFDEDE"/>
      <rgbColor rgb="FFEAD1F9"/>
      <rgbColor rgb="FFFFD0A0"/>
      <rgbColor rgb="FF2E75B6"/>
      <rgbColor rgb="FFF8F8F8"/>
      <rgbColor rgb="FF92D050"/>
      <rgbColor rgb="FFFFC000"/>
      <rgbColor rgb="FFF5F5F5"/>
      <rgbColor rgb="FFE07000"/>
      <rgbColor rgb="FF595959"/>
      <rgbColor rgb="FFF2F2F2"/>
      <rgbColor rgb="FF0D3B6E"/>
      <rgbColor rgb="FF339966"/>
      <rgbColor rgb="FF375623"/>
      <rgbColor rgb="FF1E4620"/>
      <rgbColor rgb="FFB35A00"/>
      <rgbColor rgb="FFC55A11"/>
      <rgbColor rgb="FF1F3864"/>
      <rgbColor rgb="FF1E3A1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R59"/>
  <sheetViews>
    <sheetView showGridLines="0" zoomScaleNormal="100" workbookViewId="0">
      <selection sqref="A1:M9"/>
    </sheetView>
  </sheetViews>
  <sheetFormatPr defaultColWidth="8.6328125" defaultRowHeight="14.5" x14ac:dyDescent="0.35"/>
  <cols>
    <col min="1" max="2" width="14" customWidth="1"/>
    <col min="3" max="13" width="1" customWidth="1"/>
  </cols>
  <sheetData>
    <row r="1" spans="1:18" ht="99.75" customHeight="1" x14ac:dyDescent="0.35">
      <c r="A1" s="14" t="s">
        <v>0</v>
      </c>
      <c r="B1" s="14"/>
      <c r="C1" s="14"/>
      <c r="D1" s="14"/>
      <c r="E1" s="14"/>
      <c r="F1" s="14"/>
      <c r="G1" s="14"/>
      <c r="H1" s="14"/>
      <c r="I1" s="14"/>
      <c r="J1" s="14"/>
      <c r="K1" s="14"/>
      <c r="L1" s="14"/>
      <c r="M1" s="14"/>
    </row>
    <row r="2" spans="1:18" ht="18" customHeight="1" x14ac:dyDescent="0.35">
      <c r="A2" s="14"/>
      <c r="B2" s="14"/>
      <c r="C2" s="14"/>
      <c r="D2" s="14"/>
      <c r="E2" s="14"/>
      <c r="F2" s="14"/>
      <c r="G2" s="14"/>
      <c r="H2" s="14"/>
      <c r="I2" s="14"/>
      <c r="J2" s="14"/>
      <c r="K2" s="14"/>
      <c r="L2" s="14"/>
      <c r="M2" s="14"/>
    </row>
    <row r="3" spans="1:18" ht="18" customHeight="1" x14ac:dyDescent="0.35">
      <c r="A3" s="14"/>
      <c r="B3" s="14"/>
      <c r="C3" s="14"/>
      <c r="D3" s="14"/>
      <c r="E3" s="14"/>
      <c r="F3" s="14"/>
      <c r="G3" s="14"/>
      <c r="H3" s="14"/>
      <c r="I3" s="14"/>
      <c r="J3" s="14"/>
      <c r="K3" s="14"/>
      <c r="L3" s="14"/>
      <c r="M3" s="14"/>
    </row>
    <row r="4" spans="1:18" ht="18" customHeight="1" x14ac:dyDescent="0.35">
      <c r="A4" s="14"/>
      <c r="B4" s="14"/>
      <c r="C4" s="14"/>
      <c r="D4" s="14"/>
      <c r="E4" s="14"/>
      <c r="F4" s="14"/>
      <c r="G4" s="14"/>
      <c r="H4" s="14"/>
      <c r="I4" s="14"/>
      <c r="J4" s="14"/>
      <c r="K4" s="14"/>
      <c r="L4" s="14"/>
      <c r="M4" s="14"/>
    </row>
    <row r="5" spans="1:18" ht="18" customHeight="1" x14ac:dyDescent="0.35">
      <c r="A5" s="14"/>
      <c r="B5" s="14"/>
      <c r="C5" s="14"/>
      <c r="D5" s="14"/>
      <c r="E5" s="14"/>
      <c r="F5" s="14"/>
      <c r="G5" s="14"/>
      <c r="H5" s="14"/>
      <c r="I5" s="14"/>
      <c r="J5" s="14"/>
      <c r="K5" s="14"/>
      <c r="L5" s="14"/>
      <c r="M5" s="14"/>
    </row>
    <row r="6" spans="1:18" ht="18" customHeight="1" x14ac:dyDescent="0.35">
      <c r="A6" s="14"/>
      <c r="B6" s="14"/>
      <c r="C6" s="14"/>
      <c r="D6" s="14"/>
      <c r="E6" s="14"/>
      <c r="F6" s="14"/>
      <c r="G6" s="14"/>
      <c r="H6" s="14"/>
      <c r="I6" s="14"/>
      <c r="J6" s="14"/>
      <c r="K6" s="14"/>
      <c r="L6" s="14"/>
      <c r="M6" s="14"/>
    </row>
    <row r="7" spans="1:18" ht="18" customHeight="1" x14ac:dyDescent="0.35">
      <c r="A7" s="14"/>
      <c r="B7" s="14"/>
      <c r="C7" s="14"/>
      <c r="D7" s="14"/>
      <c r="E7" s="14"/>
      <c r="F7" s="14"/>
      <c r="G7" s="14"/>
      <c r="H7" s="14"/>
      <c r="I7" s="14"/>
      <c r="J7" s="14"/>
      <c r="K7" s="14"/>
      <c r="L7" s="14"/>
      <c r="M7" s="14"/>
    </row>
    <row r="8" spans="1:18" ht="18" customHeight="1" x14ac:dyDescent="0.35">
      <c r="A8" s="14"/>
      <c r="B8" s="14"/>
      <c r="C8" s="14"/>
      <c r="D8" s="14"/>
      <c r="E8" s="14"/>
      <c r="F8" s="14"/>
      <c r="G8" s="14"/>
      <c r="H8" s="14"/>
      <c r="I8" s="14"/>
      <c r="J8" s="14"/>
      <c r="K8" s="14"/>
      <c r="L8" s="14"/>
      <c r="M8" s="14"/>
    </row>
    <row r="9" spans="1:18" ht="18" customHeight="1" x14ac:dyDescent="0.35">
      <c r="A9" s="14"/>
      <c r="B9" s="14"/>
      <c r="C9" s="14"/>
      <c r="D9" s="14"/>
      <c r="E9" s="14"/>
      <c r="F9" s="14"/>
      <c r="G9" s="14"/>
      <c r="H9" s="14"/>
      <c r="I9" s="14"/>
      <c r="J9" s="14"/>
      <c r="K9" s="14"/>
      <c r="L9" s="14"/>
      <c r="M9" s="14"/>
    </row>
    <row r="10" spans="1:18" ht="18" customHeight="1" x14ac:dyDescent="0.35">
      <c r="A10" s="13" t="s">
        <v>1</v>
      </c>
      <c r="B10" s="13"/>
      <c r="C10" s="13"/>
      <c r="D10" s="13"/>
      <c r="E10" s="13"/>
      <c r="F10" s="13"/>
      <c r="G10" s="13"/>
      <c r="H10" s="13"/>
      <c r="I10" s="13"/>
      <c r="J10" s="13"/>
      <c r="K10" s="13"/>
      <c r="L10" s="13"/>
      <c r="M10" s="13"/>
    </row>
    <row r="11" spans="1:18" ht="18" customHeight="1" x14ac:dyDescent="0.35"/>
    <row r="12" spans="1:18" ht="21.75" customHeight="1" x14ac:dyDescent="0.35">
      <c r="A12" s="15" t="s">
        <v>2</v>
      </c>
    </row>
    <row r="13" spans="1:18" ht="18" customHeight="1" x14ac:dyDescent="0.35"/>
    <row r="14" spans="1:18" ht="25.5" customHeight="1" x14ac:dyDescent="0.35">
      <c r="A14" s="16" t="s">
        <v>3</v>
      </c>
      <c r="B14" s="12" t="s">
        <v>4</v>
      </c>
      <c r="C14" s="12"/>
      <c r="D14" s="12"/>
      <c r="E14" s="11" t="s">
        <v>5</v>
      </c>
      <c r="F14" s="11"/>
      <c r="G14" s="11"/>
      <c r="H14" s="11"/>
      <c r="I14" s="11"/>
      <c r="J14" s="11"/>
      <c r="K14" s="11"/>
      <c r="L14" s="11"/>
      <c r="M14" s="11"/>
      <c r="N14" s="17" t="s">
        <v>6</v>
      </c>
      <c r="P14" s="18" t="s">
        <v>7</v>
      </c>
      <c r="R14" s="19" t="s">
        <v>8</v>
      </c>
    </row>
    <row r="15" spans="1:18" ht="25.5" customHeight="1" x14ac:dyDescent="0.35">
      <c r="A15" s="20" t="s">
        <v>9</v>
      </c>
      <c r="B15" s="10" t="s">
        <v>10</v>
      </c>
      <c r="C15" s="10"/>
      <c r="D15" s="10"/>
      <c r="E15" s="9" t="s">
        <v>11</v>
      </c>
      <c r="F15" s="9"/>
      <c r="G15" s="9"/>
      <c r="H15" s="9"/>
      <c r="I15" s="9"/>
      <c r="J15" s="9"/>
      <c r="K15" s="9"/>
      <c r="L15" s="9"/>
      <c r="M15" s="9"/>
    </row>
    <row r="16" spans="1:18" ht="25.5" customHeight="1" x14ac:dyDescent="0.35">
      <c r="A16" s="22" t="s">
        <v>12</v>
      </c>
      <c r="B16" s="8" t="s">
        <v>13</v>
      </c>
      <c r="C16" s="8"/>
      <c r="D16" s="8"/>
      <c r="E16" s="11" t="s">
        <v>14</v>
      </c>
      <c r="F16" s="11"/>
      <c r="G16" s="11"/>
      <c r="H16" s="11"/>
      <c r="I16" s="11"/>
      <c r="J16" s="11"/>
      <c r="K16" s="11"/>
      <c r="L16" s="11"/>
      <c r="M16" s="11"/>
    </row>
    <row r="17" spans="1:13" ht="25.5" customHeight="1" x14ac:dyDescent="0.35">
      <c r="A17" s="23" t="s">
        <v>15</v>
      </c>
      <c r="B17" s="7" t="s">
        <v>16</v>
      </c>
      <c r="C17" s="7"/>
      <c r="D17" s="7"/>
      <c r="E17" s="9" t="s">
        <v>17</v>
      </c>
      <c r="F17" s="9"/>
      <c r="G17" s="9"/>
      <c r="H17" s="9"/>
      <c r="I17" s="9"/>
      <c r="J17" s="9"/>
      <c r="K17" s="9"/>
      <c r="L17" s="9"/>
      <c r="M17" s="9"/>
    </row>
    <row r="18" spans="1:13" ht="25.5" customHeight="1" x14ac:dyDescent="0.35">
      <c r="A18" s="24" t="s">
        <v>18</v>
      </c>
      <c r="B18" s="6" t="s">
        <v>19</v>
      </c>
      <c r="C18" s="6"/>
      <c r="D18" s="6"/>
      <c r="E18" s="11" t="s">
        <v>20</v>
      </c>
      <c r="F18" s="11"/>
      <c r="G18" s="11"/>
      <c r="H18" s="11"/>
      <c r="I18" s="11"/>
      <c r="J18" s="11"/>
      <c r="K18" s="11"/>
      <c r="L18" s="11"/>
      <c r="M18" s="11"/>
    </row>
    <row r="19" spans="1:13" ht="25.5" customHeight="1" x14ac:dyDescent="0.35">
      <c r="A19" s="25" t="s">
        <v>21</v>
      </c>
      <c r="B19" s="5" t="s">
        <v>22</v>
      </c>
      <c r="C19" s="5"/>
      <c r="D19" s="5"/>
      <c r="E19" s="9" t="s">
        <v>23</v>
      </c>
      <c r="F19" s="9"/>
      <c r="G19" s="9"/>
      <c r="H19" s="9"/>
      <c r="I19" s="9"/>
      <c r="J19" s="9"/>
      <c r="K19" s="9"/>
      <c r="L19" s="9"/>
      <c r="M19" s="9"/>
    </row>
    <row r="20" spans="1:13" ht="25.5" customHeight="1" x14ac:dyDescent="0.35">
      <c r="A20" s="20" t="s">
        <v>24</v>
      </c>
      <c r="B20" s="10" t="s">
        <v>25</v>
      </c>
      <c r="C20" s="10"/>
      <c r="D20" s="10"/>
      <c r="E20" s="11" t="s">
        <v>26</v>
      </c>
      <c r="F20" s="11"/>
      <c r="G20" s="11"/>
      <c r="H20" s="11"/>
      <c r="I20" s="11"/>
      <c r="J20" s="11"/>
      <c r="K20" s="11"/>
      <c r="L20" s="11"/>
      <c r="M20" s="11"/>
    </row>
    <row r="21" spans="1:13" ht="25.5" customHeight="1" x14ac:dyDescent="0.35">
      <c r="A21" s="26" t="s">
        <v>27</v>
      </c>
      <c r="B21" s="4" t="s">
        <v>28</v>
      </c>
      <c r="C21" s="4"/>
      <c r="D21" s="4"/>
      <c r="E21" s="9" t="s">
        <v>29</v>
      </c>
      <c r="F21" s="9"/>
      <c r="G21" s="9"/>
      <c r="H21" s="9"/>
      <c r="I21" s="9"/>
      <c r="J21" s="9"/>
      <c r="K21" s="9"/>
      <c r="L21" s="9"/>
      <c r="M21" s="9"/>
    </row>
    <row r="22" spans="1:13" ht="25.5" customHeight="1" x14ac:dyDescent="0.35">
      <c r="A22" s="20" t="s">
        <v>30</v>
      </c>
      <c r="B22" s="10" t="s">
        <v>31</v>
      </c>
      <c r="C22" s="10"/>
      <c r="D22" s="10"/>
      <c r="E22" s="3" t="s">
        <v>32</v>
      </c>
      <c r="F22" s="3"/>
      <c r="G22" s="3"/>
      <c r="H22" s="3"/>
      <c r="I22" s="3"/>
      <c r="J22" s="3"/>
      <c r="K22" s="3"/>
      <c r="L22" s="3"/>
      <c r="M22" s="3"/>
    </row>
    <row r="23" spans="1:13" ht="18" customHeight="1" x14ac:dyDescent="0.35">
      <c r="A23" s="27" t="s">
        <v>33</v>
      </c>
      <c r="B23" s="28" t="s">
        <v>34</v>
      </c>
    </row>
    <row r="24" spans="1:13" ht="18" customHeight="1" x14ac:dyDescent="0.35">
      <c r="A24" s="29" t="s">
        <v>35</v>
      </c>
      <c r="B24" s="30" t="s">
        <v>36</v>
      </c>
    </row>
    <row r="25" spans="1:13" ht="18" customHeight="1" x14ac:dyDescent="0.35">
      <c r="A25" s="27" t="s">
        <v>37</v>
      </c>
      <c r="B25" s="28" t="s">
        <v>38</v>
      </c>
    </row>
    <row r="26" spans="1:13" ht="18" customHeight="1" x14ac:dyDescent="0.35">
      <c r="A26" s="29" t="s">
        <v>39</v>
      </c>
      <c r="B26" s="30" t="s">
        <v>40</v>
      </c>
    </row>
    <row r="27" spans="1:13" ht="18" customHeight="1" x14ac:dyDescent="0.35">
      <c r="A27" s="27" t="s">
        <v>41</v>
      </c>
      <c r="B27" s="31" t="s">
        <v>42</v>
      </c>
    </row>
    <row r="28" spans="1:13" ht="18" customHeight="1" x14ac:dyDescent="0.35">
      <c r="A28" s="29" t="s">
        <v>43</v>
      </c>
      <c r="B28" s="21" t="s">
        <v>44</v>
      </c>
    </row>
    <row r="29" spans="1:13" ht="18" customHeight="1" x14ac:dyDescent="0.35">
      <c r="A29" s="27" t="s">
        <v>45</v>
      </c>
      <c r="B29" s="31" t="s">
        <v>46</v>
      </c>
    </row>
    <row r="30" spans="1:13" ht="18" customHeight="1" x14ac:dyDescent="0.35">
      <c r="A30" s="29" t="s">
        <v>47</v>
      </c>
      <c r="B30" s="21" t="s">
        <v>48</v>
      </c>
    </row>
    <row r="31" spans="1:13" ht="18" customHeight="1" x14ac:dyDescent="0.35"/>
    <row r="32" spans="1:13"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sheetData>
  <mergeCells count="20">
    <mergeCell ref="B22:D22"/>
    <mergeCell ref="E22:M22"/>
    <mergeCell ref="B19:D19"/>
    <mergeCell ref="E19:M19"/>
    <mergeCell ref="B20:D20"/>
    <mergeCell ref="E20:M20"/>
    <mergeCell ref="B21:D21"/>
    <mergeCell ref="E21:M21"/>
    <mergeCell ref="B16:D16"/>
    <mergeCell ref="E16:M16"/>
    <mergeCell ref="B17:D17"/>
    <mergeCell ref="E17:M17"/>
    <mergeCell ref="B18:D18"/>
    <mergeCell ref="E18:M18"/>
    <mergeCell ref="A1:M9"/>
    <mergeCell ref="A10:M10"/>
    <mergeCell ref="B14:D14"/>
    <mergeCell ref="E14:M14"/>
    <mergeCell ref="B15:D15"/>
    <mergeCell ref="E15:M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R33"/>
  <sheetViews>
    <sheetView showGridLines="0" zoomScaleNormal="100" workbookViewId="0">
      <pane xSplit="3" ySplit="7" topLeftCell="D8" activePane="bottomRight" state="frozen"/>
      <selection pane="topRight" activeCell="D1" sqref="D1"/>
      <selection pane="bottomLeft" activeCell="A8" sqref="A8"/>
      <selection pane="bottomRight" activeCell="E8" sqref="E8"/>
    </sheetView>
  </sheetViews>
  <sheetFormatPr defaultColWidth="8.6328125" defaultRowHeight="14.5" x14ac:dyDescent="0.35"/>
  <cols>
    <col min="1" max="1" width="4" customWidth="1"/>
    <col min="2" max="2" width="20" customWidth="1"/>
    <col min="3" max="3" width="22" customWidth="1"/>
    <col min="4" max="8" width="26" customWidth="1"/>
    <col min="9" max="9" width="10" customWidth="1"/>
    <col min="10" max="10" width="12" customWidth="1"/>
    <col min="11" max="11" width="8" customWidth="1"/>
    <col min="12" max="12" width="10" customWidth="1"/>
    <col min="13" max="18" width="6" customWidth="1"/>
  </cols>
  <sheetData>
    <row r="1" spans="1:18" ht="36" customHeight="1" x14ac:dyDescent="0.35">
      <c r="A1" s="2" t="s">
        <v>49</v>
      </c>
      <c r="B1" s="2"/>
      <c r="C1" s="2"/>
      <c r="D1" s="2"/>
      <c r="E1" s="2"/>
      <c r="F1" s="2"/>
      <c r="G1" s="2"/>
      <c r="H1" s="2"/>
      <c r="I1" s="2"/>
      <c r="J1" s="2"/>
      <c r="K1" s="2"/>
      <c r="L1" s="2"/>
      <c r="M1" s="2"/>
      <c r="N1" s="2"/>
      <c r="O1" s="2"/>
      <c r="P1" s="2"/>
      <c r="Q1" s="2"/>
      <c r="R1" s="2"/>
    </row>
    <row r="2" spans="1:18" ht="19.5" customHeight="1" x14ac:dyDescent="0.35">
      <c r="A2" s="1" t="s">
        <v>50</v>
      </c>
      <c r="B2" s="1"/>
      <c r="C2" s="1"/>
      <c r="D2" s="1"/>
      <c r="E2" s="1"/>
      <c r="F2" s="1"/>
      <c r="G2" s="1"/>
      <c r="H2" s="1"/>
      <c r="I2" s="1"/>
      <c r="J2" s="1"/>
      <c r="K2" s="1"/>
      <c r="L2" s="1"/>
      <c r="M2" s="1"/>
      <c r="N2" s="1"/>
      <c r="O2" s="1"/>
      <c r="P2" s="1"/>
      <c r="Q2" s="1"/>
      <c r="R2" s="1"/>
    </row>
    <row r="3" spans="1:18" ht="21.75" customHeight="1" x14ac:dyDescent="0.35">
      <c r="A3" s="368" t="s">
        <v>51</v>
      </c>
      <c r="B3" s="368"/>
      <c r="C3" s="368"/>
      <c r="D3" s="368"/>
      <c r="E3" s="368"/>
      <c r="F3" s="368"/>
      <c r="G3" s="368"/>
      <c r="H3" s="368"/>
      <c r="I3" s="368"/>
      <c r="J3" s="368"/>
      <c r="K3" s="368"/>
      <c r="L3" s="368"/>
      <c r="M3" s="368"/>
      <c r="N3" s="368"/>
      <c r="O3" s="368"/>
      <c r="P3" s="368"/>
      <c r="Q3" s="368"/>
      <c r="R3" s="368"/>
    </row>
    <row r="4" spans="1:18" ht="51.75" customHeight="1" x14ac:dyDescent="0.35">
      <c r="A4" s="369" t="s">
        <v>52</v>
      </c>
      <c r="B4" s="369"/>
      <c r="C4" s="369"/>
      <c r="D4" s="369"/>
      <c r="E4" s="370" t="s">
        <v>53</v>
      </c>
      <c r="F4" s="370"/>
      <c r="G4" s="370"/>
      <c r="H4" s="370"/>
      <c r="I4" s="371" t="s">
        <v>54</v>
      </c>
      <c r="J4" s="371"/>
      <c r="K4" s="371"/>
      <c r="L4" s="371"/>
      <c r="M4" s="371"/>
      <c r="N4" s="372" t="s">
        <v>55</v>
      </c>
      <c r="O4" s="372"/>
      <c r="P4" s="372"/>
      <c r="Q4" s="372"/>
      <c r="R4" s="372"/>
    </row>
    <row r="5" spans="1:18" ht="4.5" customHeight="1" x14ac:dyDescent="0.35"/>
    <row r="6" spans="1:18" ht="25.5" customHeight="1" x14ac:dyDescent="0.35">
      <c r="A6" s="373" t="s">
        <v>56</v>
      </c>
      <c r="B6" s="373"/>
      <c r="C6" s="373"/>
      <c r="D6" s="373"/>
      <c r="E6" s="373"/>
      <c r="F6" s="373"/>
      <c r="G6" s="373"/>
      <c r="H6" s="373"/>
      <c r="I6" s="373"/>
      <c r="J6" s="373"/>
      <c r="K6" s="373"/>
      <c r="L6" s="373"/>
      <c r="M6" s="373"/>
      <c r="N6" s="373"/>
      <c r="O6" s="373"/>
      <c r="P6" s="373"/>
      <c r="Q6" s="373"/>
      <c r="R6" s="373"/>
    </row>
    <row r="7" spans="1:18" ht="43.5" customHeight="1" x14ac:dyDescent="0.35">
      <c r="A7" s="32" t="s">
        <v>57</v>
      </c>
      <c r="B7" s="32" t="s">
        <v>58</v>
      </c>
      <c r="C7" s="32" t="s">
        <v>59</v>
      </c>
      <c r="D7" s="33" t="s">
        <v>60</v>
      </c>
      <c r="E7" s="34" t="s">
        <v>61</v>
      </c>
      <c r="F7" s="35" t="s">
        <v>62</v>
      </c>
      <c r="G7" s="36" t="s">
        <v>63</v>
      </c>
      <c r="H7" s="37" t="s">
        <v>64</v>
      </c>
      <c r="I7" s="38" t="s">
        <v>65</v>
      </c>
      <c r="J7" s="38" t="s">
        <v>66</v>
      </c>
      <c r="K7" s="38" t="s">
        <v>67</v>
      </c>
      <c r="L7" s="38" t="s">
        <v>68</v>
      </c>
      <c r="M7" s="374" t="s">
        <v>69</v>
      </c>
      <c r="N7" s="374"/>
      <c r="O7" s="374"/>
      <c r="P7" s="374"/>
      <c r="Q7" s="374"/>
      <c r="R7" s="374"/>
    </row>
    <row r="8" spans="1:18" ht="75" customHeight="1" x14ac:dyDescent="0.35">
      <c r="A8" s="39" t="s">
        <v>3</v>
      </c>
      <c r="B8" s="40" t="s">
        <v>70</v>
      </c>
      <c r="C8" s="41" t="s">
        <v>71</v>
      </c>
      <c r="D8" s="42" t="s">
        <v>72</v>
      </c>
      <c r="E8" s="43" t="s">
        <v>73</v>
      </c>
      <c r="F8" s="44" t="s">
        <v>74</v>
      </c>
      <c r="G8" s="45" t="s">
        <v>75</v>
      </c>
      <c r="H8" s="46" t="s">
        <v>76</v>
      </c>
      <c r="I8" s="47">
        <v>3</v>
      </c>
      <c r="J8" s="48">
        <v>4</v>
      </c>
      <c r="K8" s="48">
        <f t="shared" ref="K8:K23" si="0">J8-I8</f>
        <v>1</v>
      </c>
      <c r="L8" s="48" t="str">
        <f t="shared" ref="L8:L23" si="1">IF(K8&gt;=2,"High",IF(K8=1,"Medium","Low"))</f>
        <v>Medium</v>
      </c>
      <c r="M8" s="375" t="s">
        <v>77</v>
      </c>
      <c r="N8" s="375"/>
      <c r="O8" s="375"/>
      <c r="P8" s="375"/>
      <c r="Q8" s="375"/>
      <c r="R8" s="375"/>
    </row>
    <row r="9" spans="1:18" ht="75" customHeight="1" x14ac:dyDescent="0.35">
      <c r="A9" s="49"/>
      <c r="B9" s="50"/>
      <c r="C9" s="51" t="s">
        <v>78</v>
      </c>
      <c r="D9" s="42" t="s">
        <v>79</v>
      </c>
      <c r="E9" s="43" t="s">
        <v>80</v>
      </c>
      <c r="F9" s="44" t="s">
        <v>81</v>
      </c>
      <c r="G9" s="45" t="s">
        <v>82</v>
      </c>
      <c r="H9" s="46" t="s">
        <v>83</v>
      </c>
      <c r="I9" s="47">
        <v>3</v>
      </c>
      <c r="J9" s="52">
        <v>4</v>
      </c>
      <c r="K9" s="52">
        <f t="shared" si="0"/>
        <v>1</v>
      </c>
      <c r="L9" s="52" t="str">
        <f t="shared" si="1"/>
        <v>Medium</v>
      </c>
      <c r="M9" s="376" t="s">
        <v>77</v>
      </c>
      <c r="N9" s="376"/>
      <c r="O9" s="376"/>
      <c r="P9" s="376"/>
      <c r="Q9" s="376"/>
      <c r="R9" s="376"/>
    </row>
    <row r="10" spans="1:18" ht="75" customHeight="1" x14ac:dyDescent="0.35">
      <c r="A10" s="53"/>
      <c r="B10" s="54"/>
      <c r="C10" s="41" t="s">
        <v>84</v>
      </c>
      <c r="D10" s="42" t="s">
        <v>85</v>
      </c>
      <c r="E10" s="43" t="s">
        <v>86</v>
      </c>
      <c r="F10" s="44" t="s">
        <v>87</v>
      </c>
      <c r="G10" s="45" t="s">
        <v>88</v>
      </c>
      <c r="H10" s="46" t="s">
        <v>89</v>
      </c>
      <c r="I10" s="47">
        <v>2</v>
      </c>
      <c r="J10" s="48">
        <v>3</v>
      </c>
      <c r="K10" s="48">
        <f t="shared" si="0"/>
        <v>1</v>
      </c>
      <c r="L10" s="48" t="str">
        <f t="shared" si="1"/>
        <v>Medium</v>
      </c>
      <c r="M10" s="375" t="s">
        <v>77</v>
      </c>
      <c r="N10" s="375"/>
      <c r="O10" s="375"/>
      <c r="P10" s="375"/>
      <c r="Q10" s="375"/>
      <c r="R10" s="375"/>
    </row>
    <row r="11" spans="1:18" ht="75" customHeight="1" x14ac:dyDescent="0.35">
      <c r="A11" s="49"/>
      <c r="B11" s="50"/>
      <c r="C11" s="51" t="s">
        <v>90</v>
      </c>
      <c r="D11" s="42" t="s">
        <v>91</v>
      </c>
      <c r="E11" s="43" t="s">
        <v>92</v>
      </c>
      <c r="F11" s="44" t="s">
        <v>93</v>
      </c>
      <c r="G11" s="45" t="s">
        <v>94</v>
      </c>
      <c r="H11" s="46" t="s">
        <v>95</v>
      </c>
      <c r="I11" s="47">
        <v>2</v>
      </c>
      <c r="J11" s="52">
        <v>4</v>
      </c>
      <c r="K11" s="52">
        <f t="shared" si="0"/>
        <v>2</v>
      </c>
      <c r="L11" s="52" t="str">
        <f t="shared" si="1"/>
        <v>High</v>
      </c>
      <c r="M11" s="376" t="s">
        <v>77</v>
      </c>
      <c r="N11" s="376"/>
      <c r="O11" s="376"/>
      <c r="P11" s="376"/>
      <c r="Q11" s="376"/>
      <c r="R11" s="376"/>
    </row>
    <row r="12" spans="1:18" ht="75" customHeight="1" x14ac:dyDescent="0.35">
      <c r="A12" s="55" t="s">
        <v>9</v>
      </c>
      <c r="B12" s="56" t="s">
        <v>96</v>
      </c>
      <c r="C12" s="41" t="s">
        <v>97</v>
      </c>
      <c r="D12" s="42" t="s">
        <v>98</v>
      </c>
      <c r="E12" s="43" t="s">
        <v>99</v>
      </c>
      <c r="F12" s="44" t="s">
        <v>100</v>
      </c>
      <c r="G12" s="45" t="s">
        <v>101</v>
      </c>
      <c r="H12" s="46" t="s">
        <v>102</v>
      </c>
      <c r="I12" s="47">
        <v>4</v>
      </c>
      <c r="J12" s="48">
        <v>4</v>
      </c>
      <c r="K12" s="48">
        <f t="shared" si="0"/>
        <v>0</v>
      </c>
      <c r="L12" s="48" t="str">
        <f t="shared" si="1"/>
        <v>Low</v>
      </c>
      <c r="M12" s="375" t="s">
        <v>77</v>
      </c>
      <c r="N12" s="375"/>
      <c r="O12" s="375"/>
      <c r="P12" s="375"/>
      <c r="Q12" s="375"/>
      <c r="R12" s="375"/>
    </row>
    <row r="13" spans="1:18" ht="75" customHeight="1" x14ac:dyDescent="0.35">
      <c r="A13" s="49"/>
      <c r="B13" s="57"/>
      <c r="C13" s="51" t="s">
        <v>103</v>
      </c>
      <c r="D13" s="42" t="s">
        <v>104</v>
      </c>
      <c r="E13" s="43" t="s">
        <v>105</v>
      </c>
      <c r="F13" s="44" t="s">
        <v>106</v>
      </c>
      <c r="G13" s="45" t="s">
        <v>107</v>
      </c>
      <c r="H13" s="46" t="s">
        <v>108</v>
      </c>
      <c r="I13" s="47">
        <v>2</v>
      </c>
      <c r="J13" s="52">
        <v>3</v>
      </c>
      <c r="K13" s="52">
        <f t="shared" si="0"/>
        <v>1</v>
      </c>
      <c r="L13" s="52" t="str">
        <f t="shared" si="1"/>
        <v>Medium</v>
      </c>
      <c r="M13" s="376" t="s">
        <v>77</v>
      </c>
      <c r="N13" s="376"/>
      <c r="O13" s="376"/>
      <c r="P13" s="376"/>
      <c r="Q13" s="376"/>
      <c r="R13" s="376"/>
    </row>
    <row r="14" spans="1:18" ht="75" customHeight="1" x14ac:dyDescent="0.35">
      <c r="A14" s="53"/>
      <c r="B14" s="58"/>
      <c r="C14" s="41" t="s">
        <v>109</v>
      </c>
      <c r="D14" s="42" t="s">
        <v>110</v>
      </c>
      <c r="E14" s="43" t="s">
        <v>111</v>
      </c>
      <c r="F14" s="44" t="s">
        <v>112</v>
      </c>
      <c r="G14" s="45" t="s">
        <v>113</v>
      </c>
      <c r="H14" s="46" t="s">
        <v>114</v>
      </c>
      <c r="I14" s="47">
        <v>2</v>
      </c>
      <c r="J14" s="48">
        <v>4</v>
      </c>
      <c r="K14" s="48">
        <f t="shared" si="0"/>
        <v>2</v>
      </c>
      <c r="L14" s="48" t="str">
        <f t="shared" si="1"/>
        <v>High</v>
      </c>
      <c r="M14" s="375" t="s">
        <v>77</v>
      </c>
      <c r="N14" s="375"/>
      <c r="O14" s="375"/>
      <c r="P14" s="375"/>
      <c r="Q14" s="375"/>
      <c r="R14" s="375"/>
    </row>
    <row r="15" spans="1:18" ht="75" customHeight="1" x14ac:dyDescent="0.35">
      <c r="A15" s="59" t="s">
        <v>12</v>
      </c>
      <c r="B15" s="60" t="s">
        <v>115</v>
      </c>
      <c r="C15" s="51" t="s">
        <v>116</v>
      </c>
      <c r="D15" s="42" t="s">
        <v>117</v>
      </c>
      <c r="E15" s="43" t="s">
        <v>118</v>
      </c>
      <c r="F15" s="44" t="s">
        <v>119</v>
      </c>
      <c r="G15" s="45" t="s">
        <v>120</v>
      </c>
      <c r="H15" s="46" t="s">
        <v>121</v>
      </c>
      <c r="I15" s="47">
        <v>3</v>
      </c>
      <c r="J15" s="52">
        <v>4</v>
      </c>
      <c r="K15" s="52">
        <f t="shared" si="0"/>
        <v>1</v>
      </c>
      <c r="L15" s="52" t="str">
        <f t="shared" si="1"/>
        <v>Medium</v>
      </c>
      <c r="M15" s="376" t="s">
        <v>77</v>
      </c>
      <c r="N15" s="376"/>
      <c r="O15" s="376"/>
      <c r="P15" s="376"/>
      <c r="Q15" s="376"/>
      <c r="R15" s="376"/>
    </row>
    <row r="16" spans="1:18" ht="75" customHeight="1" x14ac:dyDescent="0.35">
      <c r="A16" s="53"/>
      <c r="B16" s="61"/>
      <c r="C16" s="41" t="s">
        <v>122</v>
      </c>
      <c r="D16" s="42" t="s">
        <v>123</v>
      </c>
      <c r="E16" s="43" t="s">
        <v>124</v>
      </c>
      <c r="F16" s="44" t="s">
        <v>125</v>
      </c>
      <c r="G16" s="45" t="s">
        <v>126</v>
      </c>
      <c r="H16" s="46" t="s">
        <v>127</v>
      </c>
      <c r="I16" s="47">
        <v>3</v>
      </c>
      <c r="J16" s="48">
        <v>4</v>
      </c>
      <c r="K16" s="48">
        <f t="shared" si="0"/>
        <v>1</v>
      </c>
      <c r="L16" s="48" t="str">
        <f t="shared" si="1"/>
        <v>Medium</v>
      </c>
      <c r="M16" s="375" t="s">
        <v>77</v>
      </c>
      <c r="N16" s="375"/>
      <c r="O16" s="375"/>
      <c r="P16" s="375"/>
      <c r="Q16" s="375"/>
      <c r="R16" s="375"/>
    </row>
    <row r="17" spans="1:18" ht="75" customHeight="1" x14ac:dyDescent="0.35">
      <c r="A17" s="49"/>
      <c r="B17" s="62"/>
      <c r="C17" s="51" t="s">
        <v>128</v>
      </c>
      <c r="D17" s="42" t="s">
        <v>129</v>
      </c>
      <c r="E17" s="43" t="s">
        <v>130</v>
      </c>
      <c r="F17" s="44" t="s">
        <v>131</v>
      </c>
      <c r="G17" s="45" t="s">
        <v>132</v>
      </c>
      <c r="H17" s="46" t="s">
        <v>133</v>
      </c>
      <c r="I17" s="47">
        <v>2</v>
      </c>
      <c r="J17" s="52">
        <v>3</v>
      </c>
      <c r="K17" s="52">
        <f t="shared" si="0"/>
        <v>1</v>
      </c>
      <c r="L17" s="52" t="str">
        <f t="shared" si="1"/>
        <v>Medium</v>
      </c>
      <c r="M17" s="376" t="s">
        <v>77</v>
      </c>
      <c r="N17" s="376"/>
      <c r="O17" s="376"/>
      <c r="P17" s="376"/>
      <c r="Q17" s="376"/>
      <c r="R17" s="376"/>
    </row>
    <row r="18" spans="1:18" ht="75" customHeight="1" x14ac:dyDescent="0.35">
      <c r="A18" s="63" t="s">
        <v>15</v>
      </c>
      <c r="B18" s="64" t="s">
        <v>134</v>
      </c>
      <c r="C18" s="41" t="s">
        <v>135</v>
      </c>
      <c r="D18" s="42" t="s">
        <v>136</v>
      </c>
      <c r="E18" s="43" t="s">
        <v>137</v>
      </c>
      <c r="F18" s="44" t="s">
        <v>138</v>
      </c>
      <c r="G18" s="45" t="s">
        <v>139</v>
      </c>
      <c r="H18" s="46" t="s">
        <v>140</v>
      </c>
      <c r="I18" s="47">
        <v>1</v>
      </c>
      <c r="J18" s="48">
        <v>3</v>
      </c>
      <c r="K18" s="48">
        <f t="shared" si="0"/>
        <v>2</v>
      </c>
      <c r="L18" s="48" t="str">
        <f t="shared" si="1"/>
        <v>High</v>
      </c>
      <c r="M18" s="375" t="s">
        <v>77</v>
      </c>
      <c r="N18" s="375"/>
      <c r="O18" s="375"/>
      <c r="P18" s="375"/>
      <c r="Q18" s="375"/>
      <c r="R18" s="375"/>
    </row>
    <row r="19" spans="1:18" ht="75" customHeight="1" x14ac:dyDescent="0.35">
      <c r="A19" s="49"/>
      <c r="B19" s="65"/>
      <c r="C19" s="51" t="s">
        <v>141</v>
      </c>
      <c r="D19" s="42" t="s">
        <v>142</v>
      </c>
      <c r="E19" s="43" t="s">
        <v>143</v>
      </c>
      <c r="F19" s="44" t="s">
        <v>144</v>
      </c>
      <c r="G19" s="45" t="s">
        <v>145</v>
      </c>
      <c r="H19" s="46" t="s">
        <v>146</v>
      </c>
      <c r="I19" s="47">
        <v>3</v>
      </c>
      <c r="J19" s="52">
        <v>4</v>
      </c>
      <c r="K19" s="52">
        <f t="shared" si="0"/>
        <v>1</v>
      </c>
      <c r="L19" s="52" t="str">
        <f t="shared" si="1"/>
        <v>Medium</v>
      </c>
      <c r="M19" s="376" t="s">
        <v>77</v>
      </c>
      <c r="N19" s="376"/>
      <c r="O19" s="376"/>
      <c r="P19" s="376"/>
      <c r="Q19" s="376"/>
      <c r="R19" s="376"/>
    </row>
    <row r="20" spans="1:18" ht="75" customHeight="1" x14ac:dyDescent="0.35">
      <c r="A20" s="53"/>
      <c r="B20" s="66"/>
      <c r="C20" s="41" t="s">
        <v>147</v>
      </c>
      <c r="D20" s="42" t="s">
        <v>148</v>
      </c>
      <c r="E20" s="43" t="s">
        <v>149</v>
      </c>
      <c r="F20" s="44" t="s">
        <v>150</v>
      </c>
      <c r="G20" s="45" t="s">
        <v>151</v>
      </c>
      <c r="H20" s="46" t="s">
        <v>152</v>
      </c>
      <c r="I20" s="47">
        <v>2</v>
      </c>
      <c r="J20" s="48">
        <v>3</v>
      </c>
      <c r="K20" s="48">
        <f t="shared" si="0"/>
        <v>1</v>
      </c>
      <c r="L20" s="48" t="str">
        <f t="shared" si="1"/>
        <v>Medium</v>
      </c>
      <c r="M20" s="375" t="s">
        <v>77</v>
      </c>
      <c r="N20" s="375"/>
      <c r="O20" s="375"/>
      <c r="P20" s="375"/>
      <c r="Q20" s="375"/>
      <c r="R20" s="375"/>
    </row>
    <row r="21" spans="1:18" ht="75" customHeight="1" x14ac:dyDescent="0.35">
      <c r="A21" s="67" t="s">
        <v>18</v>
      </c>
      <c r="B21" s="68" t="s">
        <v>153</v>
      </c>
      <c r="C21" s="51" t="s">
        <v>154</v>
      </c>
      <c r="D21" s="42" t="s">
        <v>155</v>
      </c>
      <c r="E21" s="43" t="s">
        <v>156</v>
      </c>
      <c r="F21" s="44" t="s">
        <v>157</v>
      </c>
      <c r="G21" s="45" t="s">
        <v>158</v>
      </c>
      <c r="H21" s="46" t="s">
        <v>159</v>
      </c>
      <c r="I21" s="47">
        <v>4</v>
      </c>
      <c r="J21" s="52">
        <v>5</v>
      </c>
      <c r="K21" s="52">
        <f t="shared" si="0"/>
        <v>1</v>
      </c>
      <c r="L21" s="52" t="str">
        <f t="shared" si="1"/>
        <v>Medium</v>
      </c>
      <c r="M21" s="376" t="s">
        <v>77</v>
      </c>
      <c r="N21" s="376"/>
      <c r="O21" s="376"/>
      <c r="P21" s="376"/>
      <c r="Q21" s="376"/>
      <c r="R21" s="376"/>
    </row>
    <row r="22" spans="1:18" ht="75" customHeight="1" x14ac:dyDescent="0.35">
      <c r="A22" s="53"/>
      <c r="B22" s="69"/>
      <c r="C22" s="41" t="s">
        <v>160</v>
      </c>
      <c r="D22" s="42" t="s">
        <v>161</v>
      </c>
      <c r="E22" s="43" t="s">
        <v>162</v>
      </c>
      <c r="F22" s="44" t="s">
        <v>163</v>
      </c>
      <c r="G22" s="45" t="s">
        <v>164</v>
      </c>
      <c r="H22" s="46" t="s">
        <v>165</v>
      </c>
      <c r="I22" s="47">
        <v>3</v>
      </c>
      <c r="J22" s="48">
        <v>4</v>
      </c>
      <c r="K22" s="48">
        <f t="shared" si="0"/>
        <v>1</v>
      </c>
      <c r="L22" s="48" t="str">
        <f t="shared" si="1"/>
        <v>Medium</v>
      </c>
      <c r="M22" s="375" t="s">
        <v>77</v>
      </c>
      <c r="N22" s="375"/>
      <c r="O22" s="375"/>
      <c r="P22" s="375"/>
      <c r="Q22" s="375"/>
      <c r="R22" s="375"/>
    </row>
    <row r="23" spans="1:18" ht="75" customHeight="1" x14ac:dyDescent="0.35">
      <c r="A23" s="49"/>
      <c r="B23" s="70"/>
      <c r="C23" s="51" t="s">
        <v>166</v>
      </c>
      <c r="D23" s="42" t="s">
        <v>167</v>
      </c>
      <c r="E23" s="43" t="s">
        <v>168</v>
      </c>
      <c r="F23" s="44" t="s">
        <v>169</v>
      </c>
      <c r="G23" s="45" t="s">
        <v>170</v>
      </c>
      <c r="H23" s="46" t="s">
        <v>171</v>
      </c>
      <c r="I23" s="47">
        <v>3</v>
      </c>
      <c r="J23" s="52">
        <v>4</v>
      </c>
      <c r="K23" s="52">
        <f t="shared" si="0"/>
        <v>1</v>
      </c>
      <c r="L23" s="52" t="str">
        <f t="shared" si="1"/>
        <v>Medium</v>
      </c>
      <c r="M23" s="376" t="s">
        <v>77</v>
      </c>
      <c r="N23" s="376"/>
      <c r="O23" s="376"/>
      <c r="P23" s="376"/>
      <c r="Q23" s="376"/>
      <c r="R23" s="376"/>
    </row>
    <row r="24" spans="1:18" ht="7.5" customHeight="1" x14ac:dyDescent="0.35"/>
    <row r="25" spans="1:18" ht="36" customHeight="1" x14ac:dyDescent="0.35">
      <c r="A25" s="377" t="s">
        <v>172</v>
      </c>
      <c r="B25" s="377"/>
      <c r="C25" s="377"/>
      <c r="D25" s="378" t="s">
        <v>173</v>
      </c>
      <c r="E25" s="378"/>
      <c r="F25" s="378"/>
      <c r="G25" s="378"/>
      <c r="H25" s="378"/>
      <c r="I25" s="379">
        <f>ROUND(AVERAGE(I8:I23)*20,1)</f>
        <v>52.5</v>
      </c>
      <c r="J25" s="379"/>
      <c r="K25" s="379"/>
      <c r="L25" s="380" t="str">
        <f>IF(I25&lt;40,"Early Stage — Focus on Foundation",IF(I25&lt;60,"Developing — Begin Phase 2",IF(I25&lt;75,"Advancing — Expand to Phase 3","Mature — Target Autonomous Ops")))</f>
        <v>Developing — Begin Phase 2</v>
      </c>
      <c r="M25" s="380"/>
      <c r="N25" s="380"/>
      <c r="O25" s="380"/>
      <c r="P25" s="380"/>
      <c r="Q25" s="380"/>
      <c r="R25" s="380"/>
    </row>
    <row r="26" spans="1:18" ht="19.5" customHeight="1" x14ac:dyDescent="0.35">
      <c r="A26" s="381" t="s">
        <v>174</v>
      </c>
      <c r="B26" s="381"/>
      <c r="C26" s="381"/>
      <c r="D26" s="382" t="s">
        <v>175</v>
      </c>
      <c r="E26" s="382"/>
      <c r="F26" s="382"/>
      <c r="G26" s="383" t="s">
        <v>176</v>
      </c>
      <c r="H26" s="383"/>
      <c r="I26" s="383"/>
      <c r="J26" s="384" t="s">
        <v>177</v>
      </c>
      <c r="K26" s="384"/>
      <c r="L26" s="384"/>
      <c r="M26" s="384"/>
      <c r="N26" s="385" t="s">
        <v>178</v>
      </c>
      <c r="O26" s="385"/>
      <c r="P26" s="385"/>
      <c r="Q26" s="385"/>
      <c r="R26" s="385"/>
    </row>
    <row r="27" spans="1:18" ht="7.5" customHeight="1" x14ac:dyDescent="0.35"/>
    <row r="28" spans="1:18" ht="25.5" customHeight="1" x14ac:dyDescent="0.35">
      <c r="A28" s="373" t="s">
        <v>179</v>
      </c>
      <c r="B28" s="373"/>
      <c r="C28" s="373"/>
      <c r="D28" s="373"/>
      <c r="E28" s="373"/>
      <c r="F28" s="373"/>
      <c r="G28" s="373"/>
      <c r="H28" s="373"/>
      <c r="I28" s="373"/>
      <c r="J28" s="373"/>
      <c r="K28" s="373"/>
      <c r="L28" s="373"/>
      <c r="M28" s="373"/>
      <c r="N28" s="373"/>
      <c r="O28" s="373"/>
      <c r="P28" s="373"/>
      <c r="Q28" s="373"/>
      <c r="R28" s="373"/>
    </row>
    <row r="29" spans="1:18" ht="39.75" customHeight="1" x14ac:dyDescent="0.35">
      <c r="A29" s="38" t="s">
        <v>180</v>
      </c>
      <c r="B29" s="38" t="s">
        <v>181</v>
      </c>
      <c r="C29" s="38" t="s">
        <v>182</v>
      </c>
      <c r="D29" s="38" t="s">
        <v>183</v>
      </c>
      <c r="E29" s="38" t="s">
        <v>184</v>
      </c>
      <c r="F29" s="38" t="s">
        <v>185</v>
      </c>
      <c r="G29" s="38" t="s">
        <v>186</v>
      </c>
      <c r="H29" s="38" t="s">
        <v>187</v>
      </c>
      <c r="I29" s="38" t="s">
        <v>188</v>
      </c>
      <c r="J29" s="38" t="s">
        <v>189</v>
      </c>
      <c r="K29" s="38" t="s">
        <v>190</v>
      </c>
      <c r="L29" s="38" t="s">
        <v>191</v>
      </c>
      <c r="M29" s="71"/>
      <c r="N29" s="71"/>
      <c r="O29" s="71"/>
      <c r="P29" s="71"/>
      <c r="Q29" s="71"/>
      <c r="R29" s="71"/>
    </row>
    <row r="30" spans="1:18" ht="60" customHeight="1" x14ac:dyDescent="0.35">
      <c r="A30" s="39" t="s">
        <v>192</v>
      </c>
      <c r="B30" s="40" t="s">
        <v>193</v>
      </c>
      <c r="C30" s="72" t="s">
        <v>194</v>
      </c>
      <c r="D30" s="72" t="s">
        <v>195</v>
      </c>
      <c r="E30" s="73">
        <v>1</v>
      </c>
      <c r="F30" s="73">
        <v>3</v>
      </c>
      <c r="G30" s="74">
        <f>F30-E30</f>
        <v>2</v>
      </c>
      <c r="H30" s="72" t="s">
        <v>196</v>
      </c>
      <c r="I30" s="75" t="s">
        <v>197</v>
      </c>
      <c r="J30" s="73">
        <v>4</v>
      </c>
      <c r="K30" s="73" t="s">
        <v>198</v>
      </c>
      <c r="L30" s="76" t="s">
        <v>199</v>
      </c>
      <c r="M30" s="77"/>
      <c r="N30" s="77"/>
      <c r="O30" s="77"/>
      <c r="P30" s="77"/>
      <c r="Q30" s="77"/>
      <c r="R30" s="77"/>
    </row>
    <row r="31" spans="1:18" ht="60" customHeight="1" x14ac:dyDescent="0.35">
      <c r="A31" s="55" t="s">
        <v>200</v>
      </c>
      <c r="B31" s="56" t="s">
        <v>201</v>
      </c>
      <c r="C31" s="78" t="s">
        <v>202</v>
      </c>
      <c r="D31" s="78" t="s">
        <v>203</v>
      </c>
      <c r="E31" s="73">
        <v>3</v>
      </c>
      <c r="F31" s="73">
        <v>7</v>
      </c>
      <c r="G31" s="79">
        <f>F31-E31</f>
        <v>4</v>
      </c>
      <c r="H31" s="78" t="s">
        <v>204</v>
      </c>
      <c r="I31" s="80" t="s">
        <v>205</v>
      </c>
      <c r="J31" s="73">
        <v>4</v>
      </c>
      <c r="K31" s="73" t="s">
        <v>198</v>
      </c>
      <c r="L31" s="81" t="s">
        <v>199</v>
      </c>
      <c r="M31" s="82"/>
      <c r="N31" s="82"/>
      <c r="O31" s="82"/>
      <c r="P31" s="82"/>
      <c r="Q31" s="82"/>
      <c r="R31" s="82"/>
    </row>
    <row r="32" spans="1:18" ht="60" customHeight="1" x14ac:dyDescent="0.35">
      <c r="A32" s="59" t="s">
        <v>206</v>
      </c>
      <c r="B32" s="60" t="s">
        <v>207</v>
      </c>
      <c r="C32" s="83" t="s">
        <v>208</v>
      </c>
      <c r="D32" s="83" t="s">
        <v>209</v>
      </c>
      <c r="E32" s="73">
        <v>7</v>
      </c>
      <c r="F32" s="73">
        <v>13</v>
      </c>
      <c r="G32" s="84">
        <f>F32-E32</f>
        <v>6</v>
      </c>
      <c r="H32" s="83" t="s">
        <v>210</v>
      </c>
      <c r="I32" s="85" t="s">
        <v>211</v>
      </c>
      <c r="J32" s="73">
        <v>4</v>
      </c>
      <c r="K32" s="73" t="s">
        <v>198</v>
      </c>
      <c r="L32" s="86" t="s">
        <v>199</v>
      </c>
      <c r="M32" s="87"/>
      <c r="N32" s="87"/>
      <c r="O32" s="87"/>
      <c r="P32" s="87"/>
      <c r="Q32" s="87"/>
      <c r="R32" s="87"/>
    </row>
    <row r="33" spans="1:18" ht="60" customHeight="1" x14ac:dyDescent="0.35">
      <c r="A33" s="63" t="s">
        <v>212</v>
      </c>
      <c r="B33" s="64" t="s">
        <v>213</v>
      </c>
      <c r="C33" s="88" t="s">
        <v>214</v>
      </c>
      <c r="D33" s="88" t="s">
        <v>215</v>
      </c>
      <c r="E33" s="73">
        <v>13</v>
      </c>
      <c r="F33" s="73">
        <v>24</v>
      </c>
      <c r="G33" s="89">
        <f>F33-E33</f>
        <v>11</v>
      </c>
      <c r="H33" s="88" t="s">
        <v>216</v>
      </c>
      <c r="I33" s="90" t="s">
        <v>217</v>
      </c>
      <c r="J33" s="73">
        <v>4</v>
      </c>
      <c r="K33" s="73" t="s">
        <v>198</v>
      </c>
      <c r="L33" s="91" t="s">
        <v>199</v>
      </c>
      <c r="M33" s="92"/>
      <c r="N33" s="92"/>
      <c r="O33" s="92"/>
      <c r="P33" s="92"/>
      <c r="Q33" s="92"/>
      <c r="R33" s="92"/>
    </row>
  </sheetData>
  <mergeCells count="35">
    <mergeCell ref="A28:R28"/>
    <mergeCell ref="A26:C26"/>
    <mergeCell ref="D26:F26"/>
    <mergeCell ref="G26:I26"/>
    <mergeCell ref="J26:M26"/>
    <mergeCell ref="N26:R26"/>
    <mergeCell ref="M21:R21"/>
    <mergeCell ref="M22:R22"/>
    <mergeCell ref="M23:R23"/>
    <mergeCell ref="A25:C25"/>
    <mergeCell ref="D25:H25"/>
    <mergeCell ref="I25:K25"/>
    <mergeCell ref="L25:R25"/>
    <mergeCell ref="M16:R16"/>
    <mergeCell ref="M17:R17"/>
    <mergeCell ref="M18:R18"/>
    <mergeCell ref="M19:R19"/>
    <mergeCell ref="M20:R20"/>
    <mergeCell ref="M11:R11"/>
    <mergeCell ref="M12:R12"/>
    <mergeCell ref="M13:R13"/>
    <mergeCell ref="M14:R14"/>
    <mergeCell ref="M15:R15"/>
    <mergeCell ref="A6:R6"/>
    <mergeCell ref="M7:R7"/>
    <mergeCell ref="M8:R8"/>
    <mergeCell ref="M9:R9"/>
    <mergeCell ref="M10:R10"/>
    <mergeCell ref="A1:R1"/>
    <mergeCell ref="A2:R2"/>
    <mergeCell ref="A3:R3"/>
    <mergeCell ref="A4:D4"/>
    <mergeCell ref="E4:H4"/>
    <mergeCell ref="I4:M4"/>
    <mergeCell ref="N4:R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5C6B"/>
  </sheetPr>
  <dimension ref="A1:L24"/>
  <sheetViews>
    <sheetView showGridLines="0" zoomScaleNormal="100" workbookViewId="0">
      <selection sqref="A1:L1"/>
    </sheetView>
  </sheetViews>
  <sheetFormatPr defaultColWidth="8.6328125" defaultRowHeight="14.5" x14ac:dyDescent="0.35"/>
  <cols>
    <col min="1" max="1" width="4" customWidth="1"/>
    <col min="2" max="2" width="26" customWidth="1"/>
    <col min="3" max="3" width="18" customWidth="1"/>
    <col min="4" max="4" width="14" customWidth="1"/>
    <col min="5" max="8" width="12" customWidth="1"/>
    <col min="9" max="12" width="14" customWidth="1"/>
  </cols>
  <sheetData>
    <row r="1" spans="1:12" ht="36" customHeight="1" x14ac:dyDescent="0.35">
      <c r="A1" s="386" t="s">
        <v>218</v>
      </c>
      <c r="B1" s="386"/>
      <c r="C1" s="386"/>
      <c r="D1" s="386"/>
      <c r="E1" s="386"/>
      <c r="F1" s="386"/>
      <c r="G1" s="386"/>
      <c r="H1" s="386"/>
      <c r="I1" s="386"/>
      <c r="J1" s="386"/>
      <c r="K1" s="386"/>
      <c r="L1" s="386"/>
    </row>
    <row r="2" spans="1:12" ht="21.75" customHeight="1" x14ac:dyDescent="0.35">
      <c r="A2" s="387" t="s">
        <v>219</v>
      </c>
      <c r="B2" s="387"/>
      <c r="C2" s="387"/>
      <c r="D2" s="387"/>
      <c r="E2" s="387"/>
      <c r="F2" s="387"/>
      <c r="G2" s="387"/>
      <c r="H2" s="387"/>
      <c r="I2" s="387"/>
      <c r="J2" s="387"/>
      <c r="K2" s="387"/>
      <c r="L2" s="387"/>
    </row>
    <row r="3" spans="1:12" ht="21.75" customHeight="1" x14ac:dyDescent="0.35">
      <c r="A3" s="388" t="s">
        <v>220</v>
      </c>
      <c r="B3" s="388"/>
      <c r="C3" s="93">
        <v>150</v>
      </c>
      <c r="D3" s="388" t="s">
        <v>221</v>
      </c>
      <c r="E3" s="388"/>
      <c r="F3" s="93">
        <v>1</v>
      </c>
      <c r="G3" s="388" t="s">
        <v>222</v>
      </c>
      <c r="H3" s="388"/>
      <c r="I3" s="93">
        <v>15</v>
      </c>
      <c r="J3" s="388" t="s">
        <v>223</v>
      </c>
      <c r="K3" s="388"/>
      <c r="L3" s="93" t="s">
        <v>224</v>
      </c>
    </row>
    <row r="4" spans="1:12" ht="36" customHeight="1" x14ac:dyDescent="0.35">
      <c r="A4" s="389" t="s">
        <v>225</v>
      </c>
      <c r="B4" s="389"/>
      <c r="C4" s="389"/>
      <c r="D4" s="389"/>
      <c r="E4" s="389"/>
      <c r="F4" s="389"/>
      <c r="G4" s="389"/>
      <c r="H4" s="389"/>
      <c r="I4" s="389"/>
      <c r="J4" s="389"/>
      <c r="K4" s="389"/>
      <c r="L4" s="389"/>
    </row>
    <row r="5" spans="1:12" ht="24" customHeight="1" x14ac:dyDescent="0.35">
      <c r="A5" s="390" t="s">
        <v>226</v>
      </c>
      <c r="B5" s="390"/>
      <c r="C5" s="390"/>
      <c r="D5" s="390"/>
      <c r="E5" s="390"/>
      <c r="F5" s="390"/>
      <c r="G5" s="390"/>
      <c r="H5" s="390"/>
      <c r="I5" s="390"/>
      <c r="J5" s="390"/>
      <c r="K5" s="390"/>
      <c r="L5" s="390"/>
    </row>
    <row r="6" spans="1:12" ht="39.75" customHeight="1" x14ac:dyDescent="0.35">
      <c r="A6" s="94" t="s">
        <v>57</v>
      </c>
      <c r="B6" s="94" t="s">
        <v>227</v>
      </c>
      <c r="C6" s="94" t="s">
        <v>228</v>
      </c>
      <c r="D6" s="94" t="s">
        <v>229</v>
      </c>
      <c r="E6" s="94" t="s">
        <v>230</v>
      </c>
      <c r="F6" s="94" t="s">
        <v>231</v>
      </c>
      <c r="G6" s="94" t="s">
        <v>232</v>
      </c>
      <c r="H6" s="94" t="s">
        <v>233</v>
      </c>
      <c r="I6" s="94" t="s">
        <v>234</v>
      </c>
      <c r="J6" s="94" t="s">
        <v>235</v>
      </c>
      <c r="K6" s="94" t="s">
        <v>236</v>
      </c>
      <c r="L6" s="94" t="s">
        <v>237</v>
      </c>
    </row>
    <row r="7" spans="1:12" ht="21.75" customHeight="1" x14ac:dyDescent="0.35">
      <c r="A7" s="95" t="s">
        <v>3</v>
      </c>
      <c r="B7" s="41" t="s">
        <v>238</v>
      </c>
      <c r="C7" s="96" t="s">
        <v>239</v>
      </c>
      <c r="D7" s="97">
        <v>200</v>
      </c>
      <c r="E7" s="97">
        <v>50</v>
      </c>
      <c r="F7" s="97">
        <v>30</v>
      </c>
      <c r="G7" s="97">
        <v>20</v>
      </c>
      <c r="H7" s="98">
        <f t="shared" ref="H7:H16" si="0">SUM(D7:G7)</f>
        <v>300</v>
      </c>
      <c r="I7" s="99">
        <f>H7*(1+$I3/100)</f>
        <v>345</v>
      </c>
      <c r="J7" s="100">
        <f>H7*$C3*$F3</f>
        <v>45000</v>
      </c>
      <c r="K7" s="101">
        <f>I7*$C3*$F3</f>
        <v>51750</v>
      </c>
      <c r="L7" s="102">
        <f t="shared" ref="L7:L16" si="1">ROUND(MAX(D7,E7,F7,G7)/520,1)</f>
        <v>0.4</v>
      </c>
    </row>
    <row r="8" spans="1:12" ht="21.75" customHeight="1" x14ac:dyDescent="0.35">
      <c r="A8" s="103" t="s">
        <v>9</v>
      </c>
      <c r="B8" s="51" t="s">
        <v>240</v>
      </c>
      <c r="C8" s="104" t="s">
        <v>241</v>
      </c>
      <c r="D8" s="97">
        <v>80</v>
      </c>
      <c r="E8" s="97">
        <v>350</v>
      </c>
      <c r="F8" s="97">
        <v>250</v>
      </c>
      <c r="G8" s="97">
        <v>120</v>
      </c>
      <c r="H8" s="105">
        <f t="shared" si="0"/>
        <v>800</v>
      </c>
      <c r="I8" s="106">
        <f>H8*(1+$I3/100)</f>
        <v>919.99999999999989</v>
      </c>
      <c r="J8" s="107">
        <f>H8*$C3*$F3</f>
        <v>120000</v>
      </c>
      <c r="K8" s="108">
        <f>I8*$C3*$F3</f>
        <v>137999.99999999997</v>
      </c>
      <c r="L8" s="109">
        <f t="shared" si="1"/>
        <v>0.7</v>
      </c>
    </row>
    <row r="9" spans="1:12" ht="21.75" customHeight="1" x14ac:dyDescent="0.35">
      <c r="A9" s="95" t="s">
        <v>12</v>
      </c>
      <c r="B9" s="41" t="s">
        <v>242</v>
      </c>
      <c r="C9" s="96" t="s">
        <v>243</v>
      </c>
      <c r="D9" s="97">
        <v>30</v>
      </c>
      <c r="E9" s="97">
        <v>300</v>
      </c>
      <c r="F9" s="97">
        <v>500</v>
      </c>
      <c r="G9" s="97">
        <v>370</v>
      </c>
      <c r="H9" s="98">
        <f t="shared" si="0"/>
        <v>1200</v>
      </c>
      <c r="I9" s="99">
        <f>H9*(1+$I3/100)</f>
        <v>1380</v>
      </c>
      <c r="J9" s="100">
        <f>H9*$C3*$F3</f>
        <v>180000</v>
      </c>
      <c r="K9" s="101">
        <f>I9*$C3*$F3</f>
        <v>207000</v>
      </c>
      <c r="L9" s="102">
        <f t="shared" si="1"/>
        <v>1</v>
      </c>
    </row>
    <row r="10" spans="1:12" ht="21.75" customHeight="1" x14ac:dyDescent="0.35">
      <c r="A10" s="103" t="s">
        <v>15</v>
      </c>
      <c r="B10" s="51" t="s">
        <v>244</v>
      </c>
      <c r="C10" s="104" t="s">
        <v>245</v>
      </c>
      <c r="D10" s="97">
        <v>60</v>
      </c>
      <c r="E10" s="97">
        <v>300</v>
      </c>
      <c r="F10" s="97">
        <v>350</v>
      </c>
      <c r="G10" s="97">
        <v>190</v>
      </c>
      <c r="H10" s="105">
        <f t="shared" si="0"/>
        <v>900</v>
      </c>
      <c r="I10" s="106">
        <f>H10*(1+$I3/100)</f>
        <v>1035</v>
      </c>
      <c r="J10" s="107">
        <f>H10*$C3*$F3</f>
        <v>135000</v>
      </c>
      <c r="K10" s="108">
        <f>I10*$C3*$F3</f>
        <v>155250</v>
      </c>
      <c r="L10" s="109">
        <f t="shared" si="1"/>
        <v>0.7</v>
      </c>
    </row>
    <row r="11" spans="1:12" ht="21.75" customHeight="1" x14ac:dyDescent="0.35">
      <c r="A11" s="95" t="s">
        <v>18</v>
      </c>
      <c r="B11" s="41" t="s">
        <v>246</v>
      </c>
      <c r="C11" s="96" t="s">
        <v>247</v>
      </c>
      <c r="D11" s="97">
        <v>40</v>
      </c>
      <c r="E11" s="97">
        <v>150</v>
      </c>
      <c r="F11" s="97">
        <v>280</v>
      </c>
      <c r="G11" s="97">
        <v>230</v>
      </c>
      <c r="H11" s="98">
        <f t="shared" si="0"/>
        <v>700</v>
      </c>
      <c r="I11" s="99">
        <f>H11*(1+$I3/100)</f>
        <v>804.99999999999989</v>
      </c>
      <c r="J11" s="100">
        <f>H11*$C3*$F3</f>
        <v>105000</v>
      </c>
      <c r="K11" s="101">
        <f>I11*$C3*$F3</f>
        <v>120749.99999999999</v>
      </c>
      <c r="L11" s="102">
        <f t="shared" si="1"/>
        <v>0.5</v>
      </c>
    </row>
    <row r="12" spans="1:12" ht="21.75" customHeight="1" x14ac:dyDescent="0.35">
      <c r="A12" s="103" t="s">
        <v>21</v>
      </c>
      <c r="B12" s="51" t="s">
        <v>248</v>
      </c>
      <c r="C12" s="104" t="s">
        <v>249</v>
      </c>
      <c r="D12" s="97">
        <v>0</v>
      </c>
      <c r="E12" s="97">
        <v>80</v>
      </c>
      <c r="F12" s="97">
        <v>280</v>
      </c>
      <c r="G12" s="97">
        <v>240</v>
      </c>
      <c r="H12" s="105">
        <f t="shared" si="0"/>
        <v>600</v>
      </c>
      <c r="I12" s="106">
        <f>H12*(1+$I3/100)</f>
        <v>690</v>
      </c>
      <c r="J12" s="107">
        <f>H12*$C3*$F3</f>
        <v>90000</v>
      </c>
      <c r="K12" s="108">
        <f>I12*$C3*$F3</f>
        <v>103500</v>
      </c>
      <c r="L12" s="109">
        <f t="shared" si="1"/>
        <v>0.5</v>
      </c>
    </row>
    <row r="13" spans="1:12" ht="21.75" customHeight="1" x14ac:dyDescent="0.35">
      <c r="A13" s="95" t="s">
        <v>24</v>
      </c>
      <c r="B13" s="41" t="s">
        <v>250</v>
      </c>
      <c r="C13" s="96" t="s">
        <v>251</v>
      </c>
      <c r="D13" s="97">
        <v>80</v>
      </c>
      <c r="E13" s="97">
        <v>180</v>
      </c>
      <c r="F13" s="97">
        <v>120</v>
      </c>
      <c r="G13" s="97">
        <v>80</v>
      </c>
      <c r="H13" s="98">
        <f t="shared" si="0"/>
        <v>460</v>
      </c>
      <c r="I13" s="99">
        <f>H13*(1+$I3/100)</f>
        <v>529</v>
      </c>
      <c r="J13" s="100">
        <f>H13*$C3*$F3</f>
        <v>69000</v>
      </c>
      <c r="K13" s="101">
        <f>I13*$C3*$F3</f>
        <v>79350</v>
      </c>
      <c r="L13" s="102">
        <f t="shared" si="1"/>
        <v>0.3</v>
      </c>
    </row>
    <row r="14" spans="1:12" ht="21.75" customHeight="1" x14ac:dyDescent="0.35">
      <c r="A14" s="103" t="s">
        <v>27</v>
      </c>
      <c r="B14" s="51" t="s">
        <v>252</v>
      </c>
      <c r="C14" s="104" t="s">
        <v>253</v>
      </c>
      <c r="D14" s="97">
        <v>40</v>
      </c>
      <c r="E14" s="97">
        <v>60</v>
      </c>
      <c r="F14" s="97">
        <v>80</v>
      </c>
      <c r="G14" s="97">
        <v>60</v>
      </c>
      <c r="H14" s="105">
        <f t="shared" si="0"/>
        <v>240</v>
      </c>
      <c r="I14" s="106">
        <f>H14*(1+$I3/100)</f>
        <v>276</v>
      </c>
      <c r="J14" s="107">
        <f>H14*$C3*$F3</f>
        <v>36000</v>
      </c>
      <c r="K14" s="108">
        <f>I14*$C3*$F3</f>
        <v>41400</v>
      </c>
      <c r="L14" s="109">
        <f t="shared" si="1"/>
        <v>0.2</v>
      </c>
    </row>
    <row r="15" spans="1:12" ht="21.75" customHeight="1" x14ac:dyDescent="0.35">
      <c r="A15" s="95" t="s">
        <v>254</v>
      </c>
      <c r="B15" s="41" t="s">
        <v>255</v>
      </c>
      <c r="C15" s="96" t="s">
        <v>256</v>
      </c>
      <c r="D15" s="97">
        <v>60</v>
      </c>
      <c r="E15" s="97">
        <v>80</v>
      </c>
      <c r="F15" s="97">
        <v>100</v>
      </c>
      <c r="G15" s="97">
        <v>110</v>
      </c>
      <c r="H15" s="98">
        <f t="shared" si="0"/>
        <v>350</v>
      </c>
      <c r="I15" s="99">
        <f>H15*(1+$I3/100)</f>
        <v>402.49999999999994</v>
      </c>
      <c r="J15" s="100">
        <f>H15*$C3*$F3</f>
        <v>52500</v>
      </c>
      <c r="K15" s="101">
        <f>I15*$C3*$F3</f>
        <v>60374.999999999993</v>
      </c>
      <c r="L15" s="102">
        <f t="shared" si="1"/>
        <v>0.2</v>
      </c>
    </row>
    <row r="16" spans="1:12" ht="21.75" customHeight="1" x14ac:dyDescent="0.35">
      <c r="A16" s="103" t="s">
        <v>30</v>
      </c>
      <c r="B16" s="51" t="s">
        <v>257</v>
      </c>
      <c r="C16" s="104" t="s">
        <v>258</v>
      </c>
      <c r="D16" s="97">
        <v>60</v>
      </c>
      <c r="E16" s="97">
        <v>100</v>
      </c>
      <c r="F16" s="97">
        <v>120</v>
      </c>
      <c r="G16" s="97">
        <v>120</v>
      </c>
      <c r="H16" s="105">
        <f t="shared" si="0"/>
        <v>400</v>
      </c>
      <c r="I16" s="106">
        <f>H16*(1+$I3/100)</f>
        <v>459.99999999999994</v>
      </c>
      <c r="J16" s="107">
        <f>H16*$C3*$F3</f>
        <v>60000</v>
      </c>
      <c r="K16" s="108">
        <f>I16*$C3*$F3</f>
        <v>68999.999999999985</v>
      </c>
      <c r="L16" s="109">
        <f t="shared" si="1"/>
        <v>0.2</v>
      </c>
    </row>
    <row r="17" spans="1:12" ht="25.5" customHeight="1" x14ac:dyDescent="0.35">
      <c r="A17" s="110"/>
      <c r="B17" s="391" t="s">
        <v>259</v>
      </c>
      <c r="C17" s="391"/>
      <c r="D17" s="111">
        <f t="shared" ref="D17:L17" si="2">SUM(D7:D16)</f>
        <v>650</v>
      </c>
      <c r="E17" s="111">
        <f t="shared" si="2"/>
        <v>1650</v>
      </c>
      <c r="F17" s="111">
        <f t="shared" si="2"/>
        <v>2110</v>
      </c>
      <c r="G17" s="111">
        <f t="shared" si="2"/>
        <v>1540</v>
      </c>
      <c r="H17" s="111">
        <f t="shared" si="2"/>
        <v>5950</v>
      </c>
      <c r="I17" s="111">
        <f t="shared" si="2"/>
        <v>6842.5</v>
      </c>
      <c r="J17" s="112">
        <f t="shared" si="2"/>
        <v>892500</v>
      </c>
      <c r="K17" s="112">
        <f t="shared" si="2"/>
        <v>1026375</v>
      </c>
      <c r="L17" s="111">
        <f t="shared" si="2"/>
        <v>4.7</v>
      </c>
    </row>
    <row r="19" spans="1:12" ht="24" customHeight="1" x14ac:dyDescent="0.35">
      <c r="A19" s="390" t="s">
        <v>260</v>
      </c>
      <c r="B19" s="390"/>
      <c r="C19" s="390"/>
      <c r="D19" s="390"/>
      <c r="E19" s="390"/>
      <c r="F19" s="390"/>
      <c r="G19" s="390"/>
      <c r="H19" s="390"/>
      <c r="I19" s="390"/>
      <c r="J19" s="390"/>
      <c r="K19" s="390"/>
      <c r="L19" s="390"/>
    </row>
    <row r="20" spans="1:12" ht="36" customHeight="1" x14ac:dyDescent="0.35">
      <c r="A20" s="113" t="s">
        <v>180</v>
      </c>
      <c r="B20" s="113" t="s">
        <v>181</v>
      </c>
      <c r="C20" s="113" t="s">
        <v>261</v>
      </c>
      <c r="D20" s="113" t="s">
        <v>262</v>
      </c>
      <c r="E20" s="113" t="s">
        <v>263</v>
      </c>
      <c r="F20" s="113" t="s">
        <v>264</v>
      </c>
      <c r="G20" s="113" t="s">
        <v>265</v>
      </c>
      <c r="H20" s="113" t="s">
        <v>266</v>
      </c>
      <c r="I20" s="113" t="s">
        <v>267</v>
      </c>
      <c r="J20" s="113" t="s">
        <v>268</v>
      </c>
      <c r="K20" s="113" t="s">
        <v>269</v>
      </c>
      <c r="L20" s="113" t="s">
        <v>270</v>
      </c>
    </row>
    <row r="21" spans="1:12" ht="36" customHeight="1" x14ac:dyDescent="0.35">
      <c r="A21" s="39" t="s">
        <v>271</v>
      </c>
      <c r="B21" s="114" t="s">
        <v>193</v>
      </c>
      <c r="C21" s="75">
        <v>1</v>
      </c>
      <c r="D21" s="75">
        <v>3</v>
      </c>
      <c r="E21" s="115">
        <f>D21-C21</f>
        <v>2</v>
      </c>
      <c r="F21" s="116">
        <v>0</v>
      </c>
      <c r="G21" s="116">
        <v>0</v>
      </c>
      <c r="H21" s="97">
        <v>3</v>
      </c>
      <c r="I21" s="117">
        <f>H21*$C3</f>
        <v>450</v>
      </c>
      <c r="J21" s="118">
        <f>H21*(1+$I3/100)*$C3</f>
        <v>517.5</v>
      </c>
      <c r="K21" s="72">
        <v>250</v>
      </c>
      <c r="L21" s="75" t="s">
        <v>272</v>
      </c>
    </row>
    <row r="22" spans="1:12" ht="36" customHeight="1" x14ac:dyDescent="0.35">
      <c r="A22" s="55" t="s">
        <v>273</v>
      </c>
      <c r="B22" s="119" t="s">
        <v>201</v>
      </c>
      <c r="C22" s="80">
        <v>3</v>
      </c>
      <c r="D22" s="80">
        <v>7</v>
      </c>
      <c r="E22" s="120">
        <f>D22-C22</f>
        <v>4</v>
      </c>
      <c r="F22" s="116">
        <v>0</v>
      </c>
      <c r="G22" s="116">
        <v>0</v>
      </c>
      <c r="H22" s="97">
        <v>800</v>
      </c>
      <c r="I22" s="121">
        <f>H22*$C3</f>
        <v>120000</v>
      </c>
      <c r="J22" s="122">
        <f>H22*(1+$I3/100)*$C3</f>
        <v>137999.99999999997</v>
      </c>
      <c r="K22" s="78" t="s">
        <v>274</v>
      </c>
      <c r="L22" s="80" t="s">
        <v>205</v>
      </c>
    </row>
    <row r="23" spans="1:12" ht="36" customHeight="1" x14ac:dyDescent="0.35">
      <c r="A23" s="59" t="s">
        <v>275</v>
      </c>
      <c r="B23" s="123" t="s">
        <v>207</v>
      </c>
      <c r="C23" s="85">
        <v>7</v>
      </c>
      <c r="D23" s="85">
        <v>13</v>
      </c>
      <c r="E23" s="124">
        <f>D23-C23</f>
        <v>6</v>
      </c>
      <c r="F23" s="116">
        <v>0</v>
      </c>
      <c r="G23" s="116">
        <v>0</v>
      </c>
      <c r="H23" s="97">
        <v>1800</v>
      </c>
      <c r="I23" s="125">
        <f>H23*$C3</f>
        <v>270000</v>
      </c>
      <c r="J23" s="126">
        <f>H23*(1+$I3/100)*$C3</f>
        <v>310500</v>
      </c>
      <c r="K23" s="83" t="s">
        <v>276</v>
      </c>
      <c r="L23" s="85" t="s">
        <v>211</v>
      </c>
    </row>
    <row r="24" spans="1:12" ht="36" customHeight="1" x14ac:dyDescent="0.35">
      <c r="A24" s="63" t="s">
        <v>277</v>
      </c>
      <c r="B24" s="127" t="s">
        <v>213</v>
      </c>
      <c r="C24" s="90">
        <v>13</v>
      </c>
      <c r="D24" s="90">
        <v>24</v>
      </c>
      <c r="E24" s="128">
        <f>D24-C24</f>
        <v>11</v>
      </c>
      <c r="F24" s="116">
        <v>0</v>
      </c>
      <c r="G24" s="116">
        <v>0</v>
      </c>
      <c r="H24" s="97">
        <v>2400</v>
      </c>
      <c r="I24" s="129">
        <f>H24*$C3</f>
        <v>360000</v>
      </c>
      <c r="J24" s="130">
        <f>H24*(1+$I3/100)*$C3</f>
        <v>414000</v>
      </c>
      <c r="K24" s="88" t="s">
        <v>278</v>
      </c>
      <c r="L24" s="90" t="s">
        <v>217</v>
      </c>
    </row>
  </sheetData>
  <mergeCells count="10">
    <mergeCell ref="A4:L4"/>
    <mergeCell ref="A5:L5"/>
    <mergeCell ref="B17:C17"/>
    <mergeCell ref="A19:L19"/>
    <mergeCell ref="A1:L1"/>
    <mergeCell ref="A2:L2"/>
    <mergeCell ref="A3:B3"/>
    <mergeCell ref="D3:E3"/>
    <mergeCell ref="G3:H3"/>
    <mergeCell ref="J3:K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7000"/>
  </sheetPr>
  <dimension ref="A1:S114"/>
  <sheetViews>
    <sheetView showGridLines="0" zoomScaleNormal="100" workbookViewId="0">
      <selection sqref="A1:N1"/>
    </sheetView>
  </sheetViews>
  <sheetFormatPr defaultColWidth="8.6328125" defaultRowHeight="14.5" x14ac:dyDescent="0.35"/>
  <cols>
    <col min="1" max="1" width="4" customWidth="1"/>
    <col min="2" max="2" width="30" customWidth="1"/>
    <col min="3" max="3" width="18" customWidth="1"/>
    <col min="4" max="13" width="14" customWidth="1"/>
    <col min="14" max="14" width="4" customWidth="1"/>
    <col min="15" max="19" width="12" customWidth="1"/>
  </cols>
  <sheetData>
    <row r="1" spans="1:14" ht="37.5" customHeight="1" x14ac:dyDescent="0.35">
      <c r="A1" s="392" t="s">
        <v>279</v>
      </c>
      <c r="B1" s="392"/>
      <c r="C1" s="392"/>
      <c r="D1" s="392"/>
      <c r="E1" s="392"/>
      <c r="F1" s="392"/>
      <c r="G1" s="392"/>
      <c r="H1" s="392"/>
      <c r="I1" s="392"/>
      <c r="J1" s="392"/>
      <c r="K1" s="392"/>
      <c r="L1" s="392"/>
      <c r="M1" s="392"/>
      <c r="N1" s="392"/>
    </row>
    <row r="2" spans="1:14" ht="19.5" customHeight="1" x14ac:dyDescent="0.35">
      <c r="A2" s="393" t="s">
        <v>280</v>
      </c>
      <c r="B2" s="393"/>
      <c r="C2" s="393"/>
      <c r="D2" s="393"/>
      <c r="E2" s="393"/>
      <c r="F2" s="393"/>
      <c r="G2" s="393"/>
      <c r="H2" s="393"/>
      <c r="I2" s="393"/>
      <c r="J2" s="393"/>
      <c r="K2" s="393"/>
      <c r="L2" s="393"/>
      <c r="M2" s="393"/>
      <c r="N2" s="393"/>
    </row>
    <row r="4" spans="1:14" ht="25.5" customHeight="1" x14ac:dyDescent="0.35">
      <c r="A4" s="390" t="s">
        <v>281</v>
      </c>
      <c r="B4" s="390"/>
      <c r="C4" s="390"/>
      <c r="D4" s="390"/>
      <c r="E4" s="390"/>
      <c r="F4" s="390"/>
      <c r="G4" s="390"/>
      <c r="H4" s="390"/>
      <c r="I4" s="390"/>
      <c r="J4" s="390"/>
      <c r="K4" s="390"/>
      <c r="L4" s="390"/>
      <c r="M4" s="390"/>
      <c r="N4" s="390"/>
    </row>
    <row r="5" spans="1:14" ht="36" customHeight="1" x14ac:dyDescent="0.35">
      <c r="A5" s="394" t="s">
        <v>282</v>
      </c>
      <c r="B5" s="394"/>
      <c r="C5" s="394"/>
      <c r="D5" s="394"/>
      <c r="E5" s="394"/>
      <c r="F5" s="394"/>
      <c r="G5" s="394"/>
      <c r="H5" s="394"/>
      <c r="I5" s="394"/>
      <c r="J5" s="394"/>
      <c r="K5" s="394"/>
      <c r="L5" s="394"/>
      <c r="M5" s="394"/>
      <c r="N5" s="394"/>
    </row>
    <row r="6" spans="1:14" ht="25.5" customHeight="1" x14ac:dyDescent="0.35">
      <c r="A6" s="395" t="s">
        <v>283</v>
      </c>
      <c r="B6" s="395"/>
      <c r="C6" s="395"/>
      <c r="D6" s="395"/>
      <c r="E6" s="395"/>
      <c r="F6" s="395"/>
      <c r="G6" s="395"/>
      <c r="H6" s="395"/>
      <c r="I6" s="395"/>
      <c r="J6" s="395"/>
      <c r="K6" s="395"/>
      <c r="L6" s="395"/>
      <c r="M6" s="395"/>
      <c r="N6" s="395"/>
    </row>
    <row r="7" spans="1:14" ht="39.75" customHeight="1" x14ac:dyDescent="0.35">
      <c r="A7" s="94" t="s">
        <v>57</v>
      </c>
      <c r="B7" s="94" t="s">
        <v>284</v>
      </c>
      <c r="C7" s="94" t="s">
        <v>285</v>
      </c>
      <c r="D7" s="94" t="s">
        <v>286</v>
      </c>
      <c r="E7" s="94" t="s">
        <v>287</v>
      </c>
      <c r="F7" s="94" t="s">
        <v>288</v>
      </c>
      <c r="G7" s="94" t="s">
        <v>289</v>
      </c>
      <c r="H7" s="396" t="s">
        <v>290</v>
      </c>
      <c r="I7" s="396"/>
      <c r="J7" s="396"/>
      <c r="K7" s="396"/>
      <c r="L7" s="396"/>
    </row>
    <row r="8" spans="1:14" ht="30" customHeight="1" x14ac:dyDescent="0.35">
      <c r="A8" s="131" t="s">
        <v>291</v>
      </c>
      <c r="B8" s="41" t="s">
        <v>292</v>
      </c>
      <c r="C8" s="132" t="s">
        <v>293</v>
      </c>
      <c r="D8" s="132" t="s">
        <v>294</v>
      </c>
      <c r="E8" s="132" t="s">
        <v>295</v>
      </c>
      <c r="F8" s="132" t="s">
        <v>296</v>
      </c>
      <c r="G8" s="133">
        <v>3</v>
      </c>
      <c r="H8" s="397" t="str">
        <f t="shared" ref="H8:H14" si="0">IF(G8=1,C8,IF(G8=2,D8,IF(G8=3,E8,IF(G8=4,F8,"?"))))</f>
        <v>2,000–10,000 nodes</v>
      </c>
      <c r="I8" s="397"/>
      <c r="J8" s="397"/>
      <c r="K8" s="397"/>
      <c r="L8" s="397"/>
      <c r="M8" s="134">
        <v>0.2</v>
      </c>
      <c r="N8" s="135">
        <f t="shared" ref="N8:N14" si="1">G8*M8</f>
        <v>0.60000000000000009</v>
      </c>
    </row>
    <row r="9" spans="1:14" ht="30" customHeight="1" x14ac:dyDescent="0.35">
      <c r="A9" s="136" t="s">
        <v>297</v>
      </c>
      <c r="B9" s="51" t="s">
        <v>298</v>
      </c>
      <c r="C9" s="137" t="s">
        <v>299</v>
      </c>
      <c r="D9" s="137" t="s">
        <v>300</v>
      </c>
      <c r="E9" s="137" t="s">
        <v>301</v>
      </c>
      <c r="F9" s="137" t="s">
        <v>302</v>
      </c>
      <c r="G9" s="133">
        <v>2</v>
      </c>
      <c r="H9" s="397" t="str">
        <f t="shared" si="0"/>
        <v>3–5 tools</v>
      </c>
      <c r="I9" s="397"/>
      <c r="J9" s="397"/>
      <c r="K9" s="397"/>
      <c r="L9" s="397"/>
      <c r="M9" s="138">
        <v>0.15</v>
      </c>
      <c r="N9" s="139">
        <f t="shared" si="1"/>
        <v>0.3</v>
      </c>
    </row>
    <row r="10" spans="1:14" ht="30" customHeight="1" x14ac:dyDescent="0.35">
      <c r="A10" s="131" t="s">
        <v>303</v>
      </c>
      <c r="B10" s="41" t="s">
        <v>304</v>
      </c>
      <c r="C10" s="132" t="s">
        <v>305</v>
      </c>
      <c r="D10" s="132" t="s">
        <v>306</v>
      </c>
      <c r="E10" s="132" t="s">
        <v>307</v>
      </c>
      <c r="F10" s="132" t="s">
        <v>308</v>
      </c>
      <c r="G10" s="133">
        <v>2</v>
      </c>
      <c r="H10" s="397" t="str">
        <f t="shared" si="0"/>
        <v>Multi-cloud or hybrid</v>
      </c>
      <c r="I10" s="397"/>
      <c r="J10" s="397"/>
      <c r="K10" s="397"/>
      <c r="L10" s="397"/>
      <c r="M10" s="134">
        <v>0.1</v>
      </c>
      <c r="N10" s="135">
        <f t="shared" si="1"/>
        <v>0.2</v>
      </c>
    </row>
    <row r="11" spans="1:14" ht="30" customHeight="1" x14ac:dyDescent="0.35">
      <c r="A11" s="136" t="s">
        <v>309</v>
      </c>
      <c r="B11" s="51" t="s">
        <v>310</v>
      </c>
      <c r="C11" s="137" t="s">
        <v>311</v>
      </c>
      <c r="D11" s="137" t="s">
        <v>312</v>
      </c>
      <c r="E11" s="137" t="s">
        <v>313</v>
      </c>
      <c r="F11" s="137" t="s">
        <v>314</v>
      </c>
      <c r="G11" s="133">
        <v>3</v>
      </c>
      <c r="H11" s="397" t="str">
        <f t="shared" si="0"/>
        <v>50–70% accurate</v>
      </c>
      <c r="I11" s="397"/>
      <c r="J11" s="397"/>
      <c r="K11" s="397"/>
      <c r="L11" s="397"/>
      <c r="M11" s="138">
        <v>0.2</v>
      </c>
      <c r="N11" s="139">
        <f t="shared" si="1"/>
        <v>0.60000000000000009</v>
      </c>
    </row>
    <row r="12" spans="1:14" ht="30" customHeight="1" x14ac:dyDescent="0.35">
      <c r="A12" s="131" t="s">
        <v>315</v>
      </c>
      <c r="B12" s="41" t="s">
        <v>316</v>
      </c>
      <c r="C12" s="132" t="s">
        <v>317</v>
      </c>
      <c r="D12" s="132" t="s">
        <v>318</v>
      </c>
      <c r="E12" s="132" t="s">
        <v>319</v>
      </c>
      <c r="F12" s="132" t="s">
        <v>320</v>
      </c>
      <c r="G12" s="133">
        <v>2</v>
      </c>
      <c r="H12" s="397" t="str">
        <f t="shared" si="0"/>
        <v>5–15 sources</v>
      </c>
      <c r="I12" s="397"/>
      <c r="J12" s="397"/>
      <c r="K12" s="397"/>
      <c r="L12" s="397"/>
      <c r="M12" s="134">
        <v>0.15</v>
      </c>
      <c r="N12" s="135">
        <f t="shared" si="1"/>
        <v>0.3</v>
      </c>
    </row>
    <row r="13" spans="1:14" ht="30" customHeight="1" x14ac:dyDescent="0.35">
      <c r="A13" s="136" t="s">
        <v>321</v>
      </c>
      <c r="B13" s="51" t="s">
        <v>322</v>
      </c>
      <c r="C13" s="137" t="s">
        <v>323</v>
      </c>
      <c r="D13" s="137" t="s">
        <v>324</v>
      </c>
      <c r="E13" s="137" t="s">
        <v>325</v>
      </c>
      <c r="F13" s="137" t="s">
        <v>326</v>
      </c>
      <c r="G13" s="133">
        <v>2</v>
      </c>
      <c r="H13" s="397" t="str">
        <f t="shared" si="0"/>
        <v>1M–10M events/day</v>
      </c>
      <c r="I13" s="397"/>
      <c r="J13" s="397"/>
      <c r="K13" s="397"/>
      <c r="L13" s="397"/>
      <c r="M13" s="138">
        <v>0.1</v>
      </c>
      <c r="N13" s="139">
        <f t="shared" si="1"/>
        <v>0.2</v>
      </c>
    </row>
    <row r="14" spans="1:14" ht="30" customHeight="1" x14ac:dyDescent="0.35">
      <c r="A14" s="131" t="s">
        <v>327</v>
      </c>
      <c r="B14" s="41" t="s">
        <v>328</v>
      </c>
      <c r="C14" s="132" t="s">
        <v>329</v>
      </c>
      <c r="D14" s="132" t="s">
        <v>330</v>
      </c>
      <c r="E14" s="132" t="s">
        <v>331</v>
      </c>
      <c r="F14" s="132" t="s">
        <v>332</v>
      </c>
      <c r="G14" s="133">
        <v>1</v>
      </c>
      <c r="H14" s="397" t="str">
        <f t="shared" si="0"/>
        <v>None / minimal</v>
      </c>
      <c r="I14" s="397"/>
      <c r="J14" s="397"/>
      <c r="K14" s="397"/>
      <c r="L14" s="397"/>
      <c r="M14" s="134">
        <v>0.1</v>
      </c>
      <c r="N14" s="135">
        <f t="shared" si="1"/>
        <v>0.1</v>
      </c>
    </row>
    <row r="15" spans="1:14" ht="27.75" customHeight="1" x14ac:dyDescent="0.35">
      <c r="A15" s="398" t="s">
        <v>333</v>
      </c>
      <c r="B15" s="398"/>
      <c r="C15" s="398"/>
      <c r="D15" s="398"/>
      <c r="E15" s="398"/>
      <c r="F15" s="398"/>
      <c r="G15" s="398"/>
      <c r="H15" s="398"/>
      <c r="I15" s="398"/>
      <c r="J15" s="398"/>
      <c r="K15" s="398"/>
      <c r="L15" s="398"/>
      <c r="M15" s="399">
        <f>ROUND(SUM(N8:N14),2)</f>
        <v>2.2999999999999998</v>
      </c>
      <c r="N15" s="399"/>
    </row>
    <row r="17" spans="1:14" ht="25.5" customHeight="1" x14ac:dyDescent="0.35">
      <c r="A17" s="400" t="s">
        <v>334</v>
      </c>
      <c r="B17" s="400"/>
      <c r="C17" s="400"/>
      <c r="D17" s="400"/>
      <c r="E17" s="400"/>
      <c r="F17" s="400"/>
      <c r="G17" s="400"/>
      <c r="H17" s="400"/>
      <c r="I17" s="400"/>
      <c r="J17" s="400"/>
      <c r="K17" s="400"/>
      <c r="L17" s="400"/>
      <c r="M17" s="400"/>
      <c r="N17" s="400"/>
    </row>
    <row r="18" spans="1:14" ht="39.75" customHeight="1" x14ac:dyDescent="0.35">
      <c r="A18" s="113" t="s">
        <v>57</v>
      </c>
      <c r="B18" s="113" t="s">
        <v>284</v>
      </c>
      <c r="C18" s="113" t="s">
        <v>285</v>
      </c>
      <c r="D18" s="113" t="s">
        <v>286</v>
      </c>
      <c r="E18" s="113" t="s">
        <v>287</v>
      </c>
      <c r="F18" s="113" t="s">
        <v>288</v>
      </c>
      <c r="G18" s="113" t="s">
        <v>289</v>
      </c>
      <c r="H18" s="401" t="s">
        <v>290</v>
      </c>
      <c r="I18" s="401"/>
      <c r="J18" s="401"/>
      <c r="K18" s="401"/>
      <c r="L18" s="401"/>
    </row>
    <row r="19" spans="1:14" ht="30" customHeight="1" x14ac:dyDescent="0.35">
      <c r="A19" s="140" t="s">
        <v>335</v>
      </c>
      <c r="B19" s="41" t="s">
        <v>336</v>
      </c>
      <c r="C19" s="132" t="s">
        <v>337</v>
      </c>
      <c r="D19" s="132" t="s">
        <v>338</v>
      </c>
      <c r="E19" s="132" t="s">
        <v>339</v>
      </c>
      <c r="F19" s="132" t="s">
        <v>340</v>
      </c>
      <c r="G19" s="133">
        <v>2</v>
      </c>
      <c r="H19" s="397" t="str">
        <f>IF(G19=1,C19,IF(G19=2,D19,IF(G19=3,E19,IF(G19=4,F19,"?"))))</f>
        <v>3–5 BUs</v>
      </c>
      <c r="I19" s="397"/>
      <c r="J19" s="397"/>
      <c r="K19" s="397"/>
      <c r="L19" s="397"/>
      <c r="M19" s="134">
        <v>0.25</v>
      </c>
      <c r="N19" s="135">
        <f>G19*M19</f>
        <v>0.5</v>
      </c>
    </row>
    <row r="20" spans="1:14" ht="30" customHeight="1" x14ac:dyDescent="0.35">
      <c r="A20" s="141" t="s">
        <v>341</v>
      </c>
      <c r="B20" s="51" t="s">
        <v>342</v>
      </c>
      <c r="C20" s="137" t="s">
        <v>343</v>
      </c>
      <c r="D20" s="137" t="s">
        <v>344</v>
      </c>
      <c r="E20" s="137" t="s">
        <v>345</v>
      </c>
      <c r="F20" s="137" t="s">
        <v>346</v>
      </c>
      <c r="G20" s="133">
        <v>1</v>
      </c>
      <c r="H20" s="397" t="str">
        <f>IF(G20=1,C20,IF(G20=2,D20,IF(G20=3,E20,IF(G20=4,F20,"?"))))</f>
        <v>Single site/country</v>
      </c>
      <c r="I20" s="397"/>
      <c r="J20" s="397"/>
      <c r="K20" s="397"/>
      <c r="L20" s="397"/>
      <c r="M20" s="138">
        <v>0.2</v>
      </c>
      <c r="N20" s="139">
        <f>G20*M20</f>
        <v>0.2</v>
      </c>
    </row>
    <row r="21" spans="1:14" ht="30" customHeight="1" x14ac:dyDescent="0.35">
      <c r="A21" s="140" t="s">
        <v>347</v>
      </c>
      <c r="B21" s="41" t="s">
        <v>348</v>
      </c>
      <c r="C21" s="132" t="s">
        <v>349</v>
      </c>
      <c r="D21" s="132" t="s">
        <v>350</v>
      </c>
      <c r="E21" s="132" t="s">
        <v>351</v>
      </c>
      <c r="F21" s="132" t="s">
        <v>352</v>
      </c>
      <c r="G21" s="133">
        <v>3</v>
      </c>
      <c r="H21" s="397" t="str">
        <f>IF(G21=1,C21,IF(G21=2,D21,IF(G21=3,E21,IF(G21=4,F21,"?"))))</f>
        <v>Manual ops dominant</v>
      </c>
      <c r="I21" s="397"/>
      <c r="J21" s="397"/>
      <c r="K21" s="397"/>
      <c r="L21" s="397"/>
      <c r="M21" s="134">
        <v>0.25</v>
      </c>
      <c r="N21" s="135">
        <f>G21*M21</f>
        <v>0.75</v>
      </c>
    </row>
    <row r="22" spans="1:14" ht="30" customHeight="1" x14ac:dyDescent="0.35">
      <c r="A22" s="141" t="s">
        <v>353</v>
      </c>
      <c r="B22" s="51" t="s">
        <v>354</v>
      </c>
      <c r="C22" s="137" t="s">
        <v>355</v>
      </c>
      <c r="D22" s="137" t="s">
        <v>356</v>
      </c>
      <c r="E22" s="137" t="s">
        <v>357</v>
      </c>
      <c r="F22" s="137" t="s">
        <v>358</v>
      </c>
      <c r="G22" s="133">
        <v>2</v>
      </c>
      <c r="H22" s="397" t="str">
        <f>IF(G22=1,C22,IF(G22=2,D22,IF(G22=3,E22,IF(G22=4,F22,"?"))))</f>
        <v>Some ITIL formality</v>
      </c>
      <c r="I22" s="397"/>
      <c r="J22" s="397"/>
      <c r="K22" s="397"/>
      <c r="L22" s="397"/>
      <c r="M22" s="138">
        <v>0.15</v>
      </c>
      <c r="N22" s="139">
        <f>G22*M22</f>
        <v>0.3</v>
      </c>
    </row>
    <row r="23" spans="1:14" ht="30" customHeight="1" x14ac:dyDescent="0.35">
      <c r="A23" s="140" t="s">
        <v>359</v>
      </c>
      <c r="B23" s="41" t="s">
        <v>360</v>
      </c>
      <c r="C23" s="132" t="s">
        <v>361</v>
      </c>
      <c r="D23" s="132" t="s">
        <v>362</v>
      </c>
      <c r="E23" s="132" t="s">
        <v>363</v>
      </c>
      <c r="F23" s="132" t="s">
        <v>364</v>
      </c>
      <c r="G23" s="133">
        <v>3</v>
      </c>
      <c r="H23" s="397" t="str">
        <f>IF(G23=1,C23,IF(G23=2,D23,IF(G23=3,E23,IF(G23=4,F23,"?"))))</f>
        <v>10–20%</v>
      </c>
      <c r="I23" s="397"/>
      <c r="J23" s="397"/>
      <c r="K23" s="397"/>
      <c r="L23" s="397"/>
      <c r="M23" s="134">
        <v>0.15</v>
      </c>
      <c r="N23" s="135">
        <f>G23*M23</f>
        <v>0.44999999999999996</v>
      </c>
    </row>
    <row r="24" spans="1:14" ht="27.75" customHeight="1" x14ac:dyDescent="0.35">
      <c r="A24" s="402" t="s">
        <v>365</v>
      </c>
      <c r="B24" s="402"/>
      <c r="C24" s="402"/>
      <c r="D24" s="402"/>
      <c r="E24" s="402"/>
      <c r="F24" s="402"/>
      <c r="G24" s="402"/>
      <c r="H24" s="402"/>
      <c r="I24" s="402"/>
      <c r="J24" s="402"/>
      <c r="K24" s="402"/>
      <c r="L24" s="402"/>
      <c r="M24" s="403">
        <f>ROUND(SUM(N19:N23),2)</f>
        <v>2.2000000000000002</v>
      </c>
      <c r="N24" s="403"/>
    </row>
    <row r="26" spans="1:14" ht="25.5" customHeight="1" x14ac:dyDescent="0.35">
      <c r="A26" s="404" t="s">
        <v>366</v>
      </c>
      <c r="B26" s="404"/>
      <c r="C26" s="404"/>
      <c r="D26" s="404"/>
      <c r="E26" s="404"/>
      <c r="F26" s="404"/>
      <c r="G26" s="404"/>
      <c r="H26" s="404"/>
      <c r="I26" s="404"/>
      <c r="J26" s="404"/>
      <c r="K26" s="404"/>
      <c r="L26" s="404"/>
      <c r="M26" s="404"/>
      <c r="N26" s="404"/>
    </row>
    <row r="27" spans="1:14" ht="39.75" customHeight="1" x14ac:dyDescent="0.35">
      <c r="A27" s="142" t="s">
        <v>57</v>
      </c>
      <c r="B27" s="142" t="s">
        <v>284</v>
      </c>
      <c r="C27" s="142" t="s">
        <v>285</v>
      </c>
      <c r="D27" s="142" t="s">
        <v>286</v>
      </c>
      <c r="E27" s="142" t="s">
        <v>287</v>
      </c>
      <c r="F27" s="142" t="s">
        <v>288</v>
      </c>
      <c r="G27" s="142" t="s">
        <v>289</v>
      </c>
      <c r="H27" s="405" t="s">
        <v>290</v>
      </c>
      <c r="I27" s="405"/>
      <c r="J27" s="405"/>
      <c r="K27" s="405"/>
      <c r="L27" s="405"/>
    </row>
    <row r="28" spans="1:14" ht="30" customHeight="1" x14ac:dyDescent="0.35">
      <c r="A28" s="143" t="s">
        <v>367</v>
      </c>
      <c r="B28" s="41" t="s">
        <v>368</v>
      </c>
      <c r="C28" s="132" t="s">
        <v>369</v>
      </c>
      <c r="D28" s="132" t="s">
        <v>370</v>
      </c>
      <c r="E28" s="132" t="s">
        <v>371</v>
      </c>
      <c r="F28" s="132" t="s">
        <v>372</v>
      </c>
      <c r="G28" s="133">
        <v>2</v>
      </c>
      <c r="H28" s="406" t="str">
        <f t="shared" ref="H28:H34" si="2">IF(G28=1,C28,IF(G28=2,D28,IF(G28=3,E28,IF(G28=4,F28,"?"))))</f>
        <v>Config + some custom ML</v>
      </c>
      <c r="I28" s="406"/>
      <c r="J28" s="406"/>
      <c r="K28" s="406"/>
      <c r="L28" s="406"/>
      <c r="M28" s="134">
        <v>0.25</v>
      </c>
      <c r="N28" s="135">
        <f t="shared" ref="N28:N34" si="3">G28*M28</f>
        <v>0.5</v>
      </c>
    </row>
    <row r="29" spans="1:14" ht="30" customHeight="1" x14ac:dyDescent="0.35">
      <c r="A29" s="144" t="s">
        <v>373</v>
      </c>
      <c r="B29" s="51" t="s">
        <v>374</v>
      </c>
      <c r="C29" s="137" t="s">
        <v>375</v>
      </c>
      <c r="D29" s="137" t="s">
        <v>376</v>
      </c>
      <c r="E29" s="137" t="s">
        <v>377</v>
      </c>
      <c r="F29" s="137" t="s">
        <v>378</v>
      </c>
      <c r="G29" s="133">
        <v>3</v>
      </c>
      <c r="H29" s="406" t="str">
        <f t="shared" si="2"/>
        <v>&lt; 1 year / patchy</v>
      </c>
      <c r="I29" s="406"/>
      <c r="J29" s="406"/>
      <c r="K29" s="406"/>
      <c r="L29" s="406"/>
      <c r="M29" s="138">
        <v>0.2</v>
      </c>
      <c r="N29" s="139">
        <f t="shared" si="3"/>
        <v>0.60000000000000009</v>
      </c>
    </row>
    <row r="30" spans="1:14" ht="30" customHeight="1" x14ac:dyDescent="0.35">
      <c r="A30" s="143" t="s">
        <v>379</v>
      </c>
      <c r="B30" s="41" t="s">
        <v>380</v>
      </c>
      <c r="C30" s="132" t="s">
        <v>381</v>
      </c>
      <c r="D30" s="132" t="s">
        <v>382</v>
      </c>
      <c r="E30" s="132" t="s">
        <v>383</v>
      </c>
      <c r="F30" s="132" t="s">
        <v>384</v>
      </c>
      <c r="G30" s="133">
        <v>2</v>
      </c>
      <c r="H30" s="406" t="str">
        <f t="shared" si="2"/>
        <v>2–3 ITSM tools</v>
      </c>
      <c r="I30" s="406"/>
      <c r="J30" s="406"/>
      <c r="K30" s="406"/>
      <c r="L30" s="406"/>
      <c r="M30" s="134">
        <v>0.15</v>
      </c>
      <c r="N30" s="135">
        <f t="shared" si="3"/>
        <v>0.3</v>
      </c>
    </row>
    <row r="31" spans="1:14" ht="30" customHeight="1" x14ac:dyDescent="0.35">
      <c r="A31" s="144" t="s">
        <v>385</v>
      </c>
      <c r="B31" s="51" t="s">
        <v>386</v>
      </c>
      <c r="C31" s="137" t="s">
        <v>387</v>
      </c>
      <c r="D31" s="137" t="s">
        <v>388</v>
      </c>
      <c r="E31" s="137" t="s">
        <v>389</v>
      </c>
      <c r="F31" s="137" t="s">
        <v>390</v>
      </c>
      <c r="G31" s="133">
        <v>3</v>
      </c>
      <c r="H31" s="406" t="str">
        <f t="shared" si="2"/>
        <v>30–75 runbooks</v>
      </c>
      <c r="I31" s="406"/>
      <c r="J31" s="406"/>
      <c r="K31" s="406"/>
      <c r="L31" s="406"/>
      <c r="M31" s="138">
        <v>0.15</v>
      </c>
      <c r="N31" s="139">
        <f t="shared" si="3"/>
        <v>0.44999999999999996</v>
      </c>
    </row>
    <row r="32" spans="1:14" ht="30" customHeight="1" x14ac:dyDescent="0.35">
      <c r="A32" s="143" t="s">
        <v>391</v>
      </c>
      <c r="B32" s="41" t="s">
        <v>392</v>
      </c>
      <c r="C32" s="132" t="s">
        <v>393</v>
      </c>
      <c r="D32" s="132" t="s">
        <v>394</v>
      </c>
      <c r="E32" s="132" t="s">
        <v>395</v>
      </c>
      <c r="F32" s="132" t="s">
        <v>396</v>
      </c>
      <c r="G32" s="133">
        <v>1</v>
      </c>
      <c r="H32" s="406" t="str">
        <f t="shared" si="2"/>
        <v>No GenAI in scope</v>
      </c>
      <c r="I32" s="406"/>
      <c r="J32" s="406"/>
      <c r="K32" s="406"/>
      <c r="L32" s="406"/>
      <c r="M32" s="134">
        <v>0.1</v>
      </c>
      <c r="N32" s="135">
        <f t="shared" si="3"/>
        <v>0.1</v>
      </c>
    </row>
    <row r="33" spans="1:19" ht="30" customHeight="1" x14ac:dyDescent="0.35">
      <c r="A33" s="144" t="s">
        <v>397</v>
      </c>
      <c r="B33" s="51" t="s">
        <v>398</v>
      </c>
      <c r="C33" s="137" t="s">
        <v>399</v>
      </c>
      <c r="D33" s="137" t="s">
        <v>400</v>
      </c>
      <c r="E33" s="137" t="s">
        <v>401</v>
      </c>
      <c r="F33" s="137" t="s">
        <v>402</v>
      </c>
      <c r="G33" s="133">
        <v>2</v>
      </c>
      <c r="H33" s="406" t="str">
        <f t="shared" si="2"/>
        <v>Near real-time (5min)</v>
      </c>
      <c r="I33" s="406"/>
      <c r="J33" s="406"/>
      <c r="K33" s="406"/>
      <c r="L33" s="406"/>
      <c r="M33" s="138">
        <v>0.1</v>
      </c>
      <c r="N33" s="139">
        <f t="shared" si="3"/>
        <v>0.2</v>
      </c>
    </row>
    <row r="34" spans="1:19" ht="30" customHeight="1" x14ac:dyDescent="0.35">
      <c r="A34" s="143" t="s">
        <v>403</v>
      </c>
      <c r="B34" s="41" t="s">
        <v>404</v>
      </c>
      <c r="C34" s="132" t="s">
        <v>405</v>
      </c>
      <c r="D34" s="132" t="s">
        <v>406</v>
      </c>
      <c r="E34" s="132" t="s">
        <v>407</v>
      </c>
      <c r="F34" s="132" t="s">
        <v>408</v>
      </c>
      <c r="G34" s="133">
        <v>1</v>
      </c>
      <c r="H34" s="406" t="str">
        <f t="shared" si="2"/>
        <v>Standard cloud security</v>
      </c>
      <c r="I34" s="406"/>
      <c r="J34" s="406"/>
      <c r="K34" s="406"/>
      <c r="L34" s="406"/>
      <c r="M34" s="134">
        <v>0.05</v>
      </c>
      <c r="N34" s="135">
        <f t="shared" si="3"/>
        <v>0.05</v>
      </c>
    </row>
    <row r="35" spans="1:19" ht="27.75" customHeight="1" x14ac:dyDescent="0.35">
      <c r="A35" s="407" t="s">
        <v>409</v>
      </c>
      <c r="B35" s="407"/>
      <c r="C35" s="407"/>
      <c r="D35" s="407"/>
      <c r="E35" s="407"/>
      <c r="F35" s="407"/>
      <c r="G35" s="407"/>
      <c r="H35" s="407"/>
      <c r="I35" s="407"/>
      <c r="J35" s="407"/>
      <c r="K35" s="407"/>
      <c r="L35" s="407"/>
      <c r="M35" s="408">
        <f>ROUND(SUM(N28:N34),2)</f>
        <v>2.2000000000000002</v>
      </c>
      <c r="N35" s="408"/>
    </row>
    <row r="37" spans="1:19" ht="25.5" customHeight="1" x14ac:dyDescent="0.35">
      <c r="A37" s="390" t="s">
        <v>410</v>
      </c>
      <c r="B37" s="390"/>
      <c r="C37" s="390"/>
      <c r="D37" s="390"/>
      <c r="E37" s="390"/>
      <c r="F37" s="390"/>
      <c r="G37" s="390"/>
      <c r="H37" s="390"/>
      <c r="I37" s="390"/>
      <c r="J37" s="390"/>
      <c r="K37" s="390"/>
      <c r="L37" s="390"/>
      <c r="M37" s="390"/>
      <c r="N37" s="390"/>
    </row>
    <row r="38" spans="1:19" ht="36" customHeight="1" x14ac:dyDescent="0.4">
      <c r="A38" s="409" t="s">
        <v>411</v>
      </c>
      <c r="B38" s="409"/>
      <c r="C38" s="410">
        <f>ROUND(M15*0.4 + M24*0.3 + M35*0.3, 2)</f>
        <v>2.2400000000000002</v>
      </c>
      <c r="D38" s="410"/>
      <c r="E38" s="409" t="s">
        <v>412</v>
      </c>
      <c r="F38" s="409"/>
      <c r="G38" s="411" t="str">
        <f>IF(C38&lt;1.5,"S — Small",IF(C38&lt;2.2,"M — Medium",IF(C38&lt;3,"L — Large","XL — Extra Large")))</f>
        <v>L — Large</v>
      </c>
      <c r="H38" s="411"/>
      <c r="I38" s="409" t="s">
        <v>413</v>
      </c>
      <c r="J38" s="409"/>
      <c r="K38" s="412">
        <f>IF(C38&lt;1.5,0.75,IF(C38&lt;2.2,1,IF(C38&lt;3,1.45,2.1)))</f>
        <v>1.45</v>
      </c>
      <c r="L38" s="412"/>
      <c r="M38" s="413" t="s">
        <v>414</v>
      </c>
      <c r="N38" s="413"/>
    </row>
    <row r="39" spans="1:19" ht="36" customHeight="1" x14ac:dyDescent="0.35">
      <c r="A39" s="145" t="s">
        <v>415</v>
      </c>
      <c r="B39" s="145" t="s">
        <v>416</v>
      </c>
      <c r="C39" s="145" t="s">
        <v>417</v>
      </c>
      <c r="D39" s="414" t="s">
        <v>418</v>
      </c>
      <c r="E39" s="414"/>
      <c r="F39" s="414"/>
      <c r="G39" s="414" t="s">
        <v>419</v>
      </c>
      <c r="H39" s="414"/>
      <c r="I39" s="414"/>
      <c r="J39" s="414"/>
      <c r="K39" s="414" t="s">
        <v>420</v>
      </c>
      <c r="L39" s="414"/>
      <c r="M39" s="414"/>
      <c r="N39" s="414"/>
    </row>
    <row r="40" spans="1:19" ht="43.5" customHeight="1" x14ac:dyDescent="0.35">
      <c r="A40" s="55" t="s">
        <v>421</v>
      </c>
      <c r="B40" s="146" t="s">
        <v>422</v>
      </c>
      <c r="C40" s="147" t="s">
        <v>423</v>
      </c>
      <c r="D40" s="415" t="s">
        <v>424</v>
      </c>
      <c r="E40" s="415"/>
      <c r="F40" s="415"/>
      <c r="G40" s="416" t="s">
        <v>425</v>
      </c>
      <c r="H40" s="416"/>
      <c r="I40" s="416"/>
      <c r="J40" s="417" t="s">
        <v>426</v>
      </c>
      <c r="K40" s="417"/>
      <c r="L40" s="417"/>
      <c r="M40" s="417"/>
      <c r="N40" s="417"/>
    </row>
    <row r="41" spans="1:19" ht="43.5" customHeight="1" x14ac:dyDescent="0.35">
      <c r="A41" s="39" t="s">
        <v>427</v>
      </c>
      <c r="B41" s="148" t="s">
        <v>428</v>
      </c>
      <c r="C41" s="149" t="s">
        <v>429</v>
      </c>
      <c r="D41" s="418" t="s">
        <v>430</v>
      </c>
      <c r="E41" s="418"/>
      <c r="F41" s="418"/>
      <c r="G41" s="419" t="s">
        <v>431</v>
      </c>
      <c r="H41" s="419"/>
      <c r="I41" s="419"/>
      <c r="J41" s="420" t="s">
        <v>432</v>
      </c>
      <c r="K41" s="420"/>
      <c r="L41" s="420"/>
      <c r="M41" s="420"/>
      <c r="N41" s="420"/>
    </row>
    <row r="42" spans="1:19" ht="43.5" customHeight="1" x14ac:dyDescent="0.35">
      <c r="A42" s="59" t="s">
        <v>433</v>
      </c>
      <c r="B42" s="150" t="s">
        <v>434</v>
      </c>
      <c r="C42" s="151" t="s">
        <v>435</v>
      </c>
      <c r="D42" s="421" t="s">
        <v>436</v>
      </c>
      <c r="E42" s="421"/>
      <c r="F42" s="421"/>
      <c r="G42" s="422" t="s">
        <v>437</v>
      </c>
      <c r="H42" s="422"/>
      <c r="I42" s="422"/>
      <c r="J42" s="423" t="s">
        <v>438</v>
      </c>
      <c r="K42" s="423"/>
      <c r="L42" s="423"/>
      <c r="M42" s="423"/>
      <c r="N42" s="423"/>
    </row>
    <row r="43" spans="1:19" ht="43.5" customHeight="1" x14ac:dyDescent="0.35">
      <c r="A43" s="152" t="s">
        <v>439</v>
      </c>
      <c r="B43" s="153" t="s">
        <v>440</v>
      </c>
      <c r="C43" s="154" t="s">
        <v>441</v>
      </c>
      <c r="D43" s="424" t="s">
        <v>442</v>
      </c>
      <c r="E43" s="424"/>
      <c r="F43" s="424"/>
      <c r="G43" s="425" t="s">
        <v>443</v>
      </c>
      <c r="H43" s="425"/>
      <c r="I43" s="425"/>
      <c r="J43" s="426" t="s">
        <v>444</v>
      </c>
      <c r="K43" s="426"/>
      <c r="L43" s="426"/>
      <c r="M43" s="426"/>
      <c r="N43" s="426"/>
    </row>
    <row r="46" spans="1:19" ht="25.5" customHeight="1" x14ac:dyDescent="0.35">
      <c r="A46" s="400" t="s">
        <v>445</v>
      </c>
      <c r="B46" s="400"/>
      <c r="C46" s="400"/>
      <c r="D46" s="400"/>
      <c r="E46" s="400"/>
      <c r="F46" s="400"/>
      <c r="G46" s="400"/>
      <c r="H46" s="400"/>
      <c r="I46" s="400"/>
      <c r="J46" s="400"/>
      <c r="K46" s="400"/>
      <c r="L46" s="400"/>
      <c r="M46" s="400"/>
      <c r="N46" s="400"/>
    </row>
    <row r="47" spans="1:19" ht="36" customHeight="1" x14ac:dyDescent="0.35">
      <c r="A47" s="427" t="s">
        <v>446</v>
      </c>
      <c r="B47" s="427"/>
      <c r="C47" s="427"/>
      <c r="D47" s="427"/>
      <c r="E47" s="427"/>
      <c r="F47" s="427"/>
      <c r="G47" s="427"/>
      <c r="H47" s="427"/>
      <c r="I47" s="427"/>
      <c r="J47" s="427"/>
      <c r="K47" s="427"/>
      <c r="L47" s="427"/>
      <c r="M47" s="427"/>
      <c r="N47" s="427"/>
    </row>
    <row r="48" spans="1:19" ht="43.5" customHeight="1" x14ac:dyDescent="0.35">
      <c r="A48" s="155" t="s">
        <v>447</v>
      </c>
      <c r="B48" s="155" t="s">
        <v>227</v>
      </c>
      <c r="C48" s="155" t="s">
        <v>448</v>
      </c>
      <c r="D48" s="155" t="s">
        <v>449</v>
      </c>
      <c r="E48" s="155" t="s">
        <v>450</v>
      </c>
      <c r="F48" s="155" t="s">
        <v>451</v>
      </c>
      <c r="G48" s="155" t="s">
        <v>452</v>
      </c>
      <c r="H48" s="155" t="s">
        <v>453</v>
      </c>
      <c r="I48" s="155" t="s">
        <v>454</v>
      </c>
      <c r="J48" s="155" t="s">
        <v>455</v>
      </c>
      <c r="K48" s="155" t="s">
        <v>456</v>
      </c>
      <c r="L48" s="155" t="s">
        <v>457</v>
      </c>
      <c r="M48" s="155" t="s">
        <v>458</v>
      </c>
      <c r="N48" s="155" t="s">
        <v>459</v>
      </c>
      <c r="O48" s="155" t="s">
        <v>460</v>
      </c>
      <c r="P48" s="155" t="s">
        <v>461</v>
      </c>
      <c r="Q48" s="155" t="s">
        <v>462</v>
      </c>
      <c r="R48" s="155" t="s">
        <v>463</v>
      </c>
      <c r="S48" s="155" t="s">
        <v>464</v>
      </c>
    </row>
    <row r="49" spans="1:19" ht="27.75" customHeight="1" x14ac:dyDescent="0.35">
      <c r="A49" s="39" t="s">
        <v>465</v>
      </c>
      <c r="B49" s="114" t="s">
        <v>238</v>
      </c>
      <c r="C49" s="156" t="s">
        <v>466</v>
      </c>
      <c r="D49" s="157">
        <v>120</v>
      </c>
      <c r="E49" s="158">
        <v>200</v>
      </c>
      <c r="F49" s="157">
        <v>320</v>
      </c>
      <c r="G49" s="157">
        <v>480</v>
      </c>
      <c r="H49" s="157">
        <v>30</v>
      </c>
      <c r="I49" s="158">
        <v>50</v>
      </c>
      <c r="J49" s="157">
        <v>80</v>
      </c>
      <c r="K49" s="157">
        <v>120</v>
      </c>
      <c r="L49" s="157">
        <v>20</v>
      </c>
      <c r="M49" s="158">
        <v>30</v>
      </c>
      <c r="N49" s="157">
        <v>50</v>
      </c>
      <c r="O49" s="159">
        <v>80</v>
      </c>
      <c r="P49" s="159">
        <v>20</v>
      </c>
      <c r="Q49" s="158">
        <v>30</v>
      </c>
      <c r="R49" s="159">
        <v>50</v>
      </c>
      <c r="S49" s="159">
        <v>80</v>
      </c>
    </row>
    <row r="50" spans="1:19" ht="27.75" customHeight="1" x14ac:dyDescent="0.35">
      <c r="A50" s="55" t="s">
        <v>467</v>
      </c>
      <c r="B50" s="119" t="s">
        <v>240</v>
      </c>
      <c r="C50" s="160" t="s">
        <v>468</v>
      </c>
      <c r="D50" s="161">
        <v>60</v>
      </c>
      <c r="E50" s="158">
        <v>80</v>
      </c>
      <c r="F50" s="161">
        <v>140</v>
      </c>
      <c r="G50" s="161">
        <v>220</v>
      </c>
      <c r="H50" s="161">
        <v>200</v>
      </c>
      <c r="I50" s="158">
        <v>350</v>
      </c>
      <c r="J50" s="161">
        <v>560</v>
      </c>
      <c r="K50" s="161">
        <v>840</v>
      </c>
      <c r="L50" s="161">
        <v>150</v>
      </c>
      <c r="M50" s="158">
        <v>250</v>
      </c>
      <c r="N50" s="161">
        <v>400</v>
      </c>
      <c r="O50" s="162">
        <v>640</v>
      </c>
      <c r="P50" s="162">
        <v>75</v>
      </c>
      <c r="Q50" s="158">
        <v>120</v>
      </c>
      <c r="R50" s="162">
        <v>200</v>
      </c>
      <c r="S50" s="162">
        <v>300</v>
      </c>
    </row>
    <row r="51" spans="1:19" ht="27.75" customHeight="1" x14ac:dyDescent="0.35">
      <c r="A51" s="59" t="s">
        <v>469</v>
      </c>
      <c r="B51" s="123" t="s">
        <v>242</v>
      </c>
      <c r="C51" s="163" t="s">
        <v>470</v>
      </c>
      <c r="D51" s="164">
        <v>20</v>
      </c>
      <c r="E51" s="158">
        <v>30</v>
      </c>
      <c r="F51" s="164">
        <v>60</v>
      </c>
      <c r="G51" s="164">
        <v>100</v>
      </c>
      <c r="H51" s="164">
        <v>180</v>
      </c>
      <c r="I51" s="158">
        <v>300</v>
      </c>
      <c r="J51" s="164">
        <v>480</v>
      </c>
      <c r="K51" s="164">
        <v>720</v>
      </c>
      <c r="L51" s="164">
        <v>320</v>
      </c>
      <c r="M51" s="158">
        <v>500</v>
      </c>
      <c r="N51" s="164">
        <v>800</v>
      </c>
      <c r="O51" s="159">
        <v>1200</v>
      </c>
      <c r="P51" s="159">
        <v>230</v>
      </c>
      <c r="Q51" s="158">
        <v>370</v>
      </c>
      <c r="R51" s="159">
        <v>600</v>
      </c>
      <c r="S51" s="159">
        <v>900</v>
      </c>
    </row>
    <row r="52" spans="1:19" ht="27.75" customHeight="1" x14ac:dyDescent="0.35">
      <c r="A52" s="67" t="s">
        <v>471</v>
      </c>
      <c r="B52" s="165" t="s">
        <v>244</v>
      </c>
      <c r="C52" s="166" t="s">
        <v>472</v>
      </c>
      <c r="D52" s="167">
        <v>40</v>
      </c>
      <c r="E52" s="158">
        <v>60</v>
      </c>
      <c r="F52" s="167">
        <v>100</v>
      </c>
      <c r="G52" s="167">
        <v>180</v>
      </c>
      <c r="H52" s="167">
        <v>180</v>
      </c>
      <c r="I52" s="158">
        <v>300</v>
      </c>
      <c r="J52" s="167">
        <v>480</v>
      </c>
      <c r="K52" s="167">
        <v>720</v>
      </c>
      <c r="L52" s="167">
        <v>210</v>
      </c>
      <c r="M52" s="158">
        <v>350</v>
      </c>
      <c r="N52" s="167">
        <v>560</v>
      </c>
      <c r="O52" s="162">
        <v>840</v>
      </c>
      <c r="P52" s="162">
        <v>115</v>
      </c>
      <c r="Q52" s="158">
        <v>190</v>
      </c>
      <c r="R52" s="162">
        <v>300</v>
      </c>
      <c r="S52" s="162">
        <v>460</v>
      </c>
    </row>
    <row r="53" spans="1:19" ht="27.75" customHeight="1" x14ac:dyDescent="0.35">
      <c r="A53" s="63" t="s">
        <v>473</v>
      </c>
      <c r="B53" s="127" t="s">
        <v>246</v>
      </c>
      <c r="C53" s="168" t="s">
        <v>474</v>
      </c>
      <c r="D53" s="169">
        <v>25</v>
      </c>
      <c r="E53" s="158">
        <v>40</v>
      </c>
      <c r="F53" s="169">
        <v>70</v>
      </c>
      <c r="G53" s="169">
        <v>120</v>
      </c>
      <c r="H53" s="169">
        <v>90</v>
      </c>
      <c r="I53" s="158">
        <v>150</v>
      </c>
      <c r="J53" s="169">
        <v>240</v>
      </c>
      <c r="K53" s="169">
        <v>380</v>
      </c>
      <c r="L53" s="169">
        <v>170</v>
      </c>
      <c r="M53" s="158">
        <v>280</v>
      </c>
      <c r="N53" s="169">
        <v>450</v>
      </c>
      <c r="O53" s="159">
        <v>680</v>
      </c>
      <c r="P53" s="159">
        <v>145</v>
      </c>
      <c r="Q53" s="158">
        <v>230</v>
      </c>
      <c r="R53" s="159">
        <v>370</v>
      </c>
      <c r="S53" s="159">
        <v>560</v>
      </c>
    </row>
    <row r="54" spans="1:19" ht="27.75" customHeight="1" x14ac:dyDescent="0.35">
      <c r="A54" s="170" t="s">
        <v>475</v>
      </c>
      <c r="B54" s="41" t="s">
        <v>248</v>
      </c>
      <c r="C54" s="171" t="s">
        <v>476</v>
      </c>
      <c r="D54" s="159">
        <v>0</v>
      </c>
      <c r="E54" s="158">
        <v>0</v>
      </c>
      <c r="F54" s="159">
        <v>20</v>
      </c>
      <c r="G54" s="159">
        <v>40</v>
      </c>
      <c r="H54" s="159">
        <v>50</v>
      </c>
      <c r="I54" s="158">
        <v>80</v>
      </c>
      <c r="J54" s="159">
        <v>140</v>
      </c>
      <c r="K54" s="159">
        <v>240</v>
      </c>
      <c r="L54" s="159">
        <v>170</v>
      </c>
      <c r="M54" s="158">
        <v>280</v>
      </c>
      <c r="N54" s="159">
        <v>450</v>
      </c>
      <c r="O54" s="162">
        <v>680</v>
      </c>
      <c r="P54" s="162">
        <v>150</v>
      </c>
      <c r="Q54" s="158">
        <v>240</v>
      </c>
      <c r="R54" s="162">
        <v>390</v>
      </c>
      <c r="S54" s="162">
        <v>590</v>
      </c>
    </row>
    <row r="55" spans="1:19" ht="27.75" customHeight="1" x14ac:dyDescent="0.35">
      <c r="A55" s="39" t="s">
        <v>477</v>
      </c>
      <c r="B55" s="114" t="s">
        <v>250</v>
      </c>
      <c r="C55" s="156" t="s">
        <v>478</v>
      </c>
      <c r="D55" s="157">
        <v>50</v>
      </c>
      <c r="E55" s="158">
        <v>80</v>
      </c>
      <c r="F55" s="157">
        <v>130</v>
      </c>
      <c r="G55" s="157">
        <v>200</v>
      </c>
      <c r="H55" s="157">
        <v>110</v>
      </c>
      <c r="I55" s="158">
        <v>180</v>
      </c>
      <c r="J55" s="157">
        <v>290</v>
      </c>
      <c r="K55" s="157">
        <v>450</v>
      </c>
      <c r="L55" s="157">
        <v>70</v>
      </c>
      <c r="M55" s="158">
        <v>120</v>
      </c>
      <c r="N55" s="157">
        <v>190</v>
      </c>
      <c r="O55" s="159">
        <v>300</v>
      </c>
      <c r="P55" s="159">
        <v>50</v>
      </c>
      <c r="Q55" s="158">
        <v>80</v>
      </c>
      <c r="R55" s="159">
        <v>130</v>
      </c>
      <c r="S55" s="159">
        <v>200</v>
      </c>
    </row>
    <row r="56" spans="1:19" ht="27.75" customHeight="1" x14ac:dyDescent="0.35">
      <c r="A56" s="152" t="s">
        <v>479</v>
      </c>
      <c r="B56" s="172" t="s">
        <v>252</v>
      </c>
      <c r="C56" s="173" t="s">
        <v>480</v>
      </c>
      <c r="D56" s="174">
        <v>25</v>
      </c>
      <c r="E56" s="158">
        <v>40</v>
      </c>
      <c r="F56" s="174">
        <v>70</v>
      </c>
      <c r="G56" s="174">
        <v>120</v>
      </c>
      <c r="H56" s="174">
        <v>36</v>
      </c>
      <c r="I56" s="158">
        <v>60</v>
      </c>
      <c r="J56" s="174">
        <v>100</v>
      </c>
      <c r="K56" s="174">
        <v>160</v>
      </c>
      <c r="L56" s="174">
        <v>50</v>
      </c>
      <c r="M56" s="158">
        <v>80</v>
      </c>
      <c r="N56" s="174">
        <v>130</v>
      </c>
      <c r="O56" s="162">
        <v>200</v>
      </c>
      <c r="P56" s="162">
        <v>38</v>
      </c>
      <c r="Q56" s="158">
        <v>60</v>
      </c>
      <c r="R56" s="162">
        <v>95</v>
      </c>
      <c r="S56" s="162">
        <v>145</v>
      </c>
    </row>
    <row r="57" spans="1:19" ht="27.75" customHeight="1" x14ac:dyDescent="0.35">
      <c r="A57" s="55" t="s">
        <v>481</v>
      </c>
      <c r="B57" s="119" t="s">
        <v>255</v>
      </c>
      <c r="C57" s="160" t="s">
        <v>482</v>
      </c>
      <c r="D57" s="161">
        <v>36</v>
      </c>
      <c r="E57" s="158">
        <v>60</v>
      </c>
      <c r="F57" s="161">
        <v>100</v>
      </c>
      <c r="G57" s="161">
        <v>160</v>
      </c>
      <c r="H57" s="161">
        <v>48</v>
      </c>
      <c r="I57" s="158">
        <v>80</v>
      </c>
      <c r="J57" s="161">
        <v>130</v>
      </c>
      <c r="K57" s="161">
        <v>200</v>
      </c>
      <c r="L57" s="161">
        <v>60</v>
      </c>
      <c r="M57" s="158">
        <v>100</v>
      </c>
      <c r="N57" s="161">
        <v>160</v>
      </c>
      <c r="O57" s="159">
        <v>250</v>
      </c>
      <c r="P57" s="159">
        <v>68</v>
      </c>
      <c r="Q57" s="158">
        <v>110</v>
      </c>
      <c r="R57" s="159">
        <v>175</v>
      </c>
      <c r="S57" s="159">
        <v>270</v>
      </c>
    </row>
    <row r="58" spans="1:19" ht="27.75" customHeight="1" x14ac:dyDescent="0.35">
      <c r="A58" s="59" t="s">
        <v>483</v>
      </c>
      <c r="B58" s="123" t="s">
        <v>257</v>
      </c>
      <c r="C58" s="163" t="s">
        <v>484</v>
      </c>
      <c r="D58" s="164">
        <v>36</v>
      </c>
      <c r="E58" s="158">
        <v>60</v>
      </c>
      <c r="F58" s="164">
        <v>100</v>
      </c>
      <c r="G58" s="164">
        <v>160</v>
      </c>
      <c r="H58" s="164">
        <v>60</v>
      </c>
      <c r="I58" s="158">
        <v>100</v>
      </c>
      <c r="J58" s="164">
        <v>160</v>
      </c>
      <c r="K58" s="164">
        <v>250</v>
      </c>
      <c r="L58" s="164">
        <v>72</v>
      </c>
      <c r="M58" s="158">
        <v>120</v>
      </c>
      <c r="N58" s="164">
        <v>190</v>
      </c>
      <c r="O58" s="162">
        <v>300</v>
      </c>
      <c r="P58" s="162">
        <v>75</v>
      </c>
      <c r="Q58" s="158">
        <v>120</v>
      </c>
      <c r="R58" s="162">
        <v>195</v>
      </c>
      <c r="S58" s="162">
        <v>300</v>
      </c>
    </row>
    <row r="60" spans="1:19" ht="27.75" customHeight="1" x14ac:dyDescent="0.35">
      <c r="A60" s="391" t="s">
        <v>485</v>
      </c>
      <c r="B60" s="391"/>
      <c r="C60" s="391"/>
      <c r="D60" s="175">
        <f t="shared" ref="D60:S60" si="4">SUM(D49:D58)</f>
        <v>412</v>
      </c>
      <c r="E60" s="175">
        <f t="shared" si="4"/>
        <v>650</v>
      </c>
      <c r="F60" s="175">
        <f t="shared" si="4"/>
        <v>1110</v>
      </c>
      <c r="G60" s="175">
        <f t="shared" si="4"/>
        <v>1780</v>
      </c>
      <c r="H60" s="175">
        <f t="shared" si="4"/>
        <v>984</v>
      </c>
      <c r="I60" s="175">
        <f t="shared" si="4"/>
        <v>1650</v>
      </c>
      <c r="J60" s="175">
        <f t="shared" si="4"/>
        <v>2660</v>
      </c>
      <c r="K60" s="175">
        <f t="shared" si="4"/>
        <v>4080</v>
      </c>
      <c r="L60" s="175">
        <f t="shared" si="4"/>
        <v>1292</v>
      </c>
      <c r="M60" s="175">
        <f t="shared" si="4"/>
        <v>2110</v>
      </c>
      <c r="N60" s="175">
        <f t="shared" si="4"/>
        <v>3380</v>
      </c>
      <c r="O60" s="175">
        <f t="shared" si="4"/>
        <v>5170</v>
      </c>
      <c r="P60" s="175">
        <f t="shared" si="4"/>
        <v>966</v>
      </c>
      <c r="Q60" s="175">
        <f t="shared" si="4"/>
        <v>1550</v>
      </c>
      <c r="R60" s="175">
        <f t="shared" si="4"/>
        <v>2505</v>
      </c>
      <c r="S60" s="175">
        <f t="shared" si="4"/>
        <v>3805</v>
      </c>
    </row>
    <row r="62" spans="1:19" ht="25.5" customHeight="1" x14ac:dyDescent="0.35">
      <c r="A62" s="428" t="s">
        <v>486</v>
      </c>
      <c r="B62" s="428"/>
      <c r="C62" s="428"/>
      <c r="D62" s="428"/>
      <c r="E62" s="428"/>
      <c r="F62" s="428"/>
      <c r="G62" s="428"/>
      <c r="H62" s="428"/>
      <c r="I62" s="428"/>
      <c r="J62" s="428"/>
      <c r="K62" s="428"/>
      <c r="L62" s="428"/>
      <c r="M62" s="428"/>
      <c r="N62" s="428"/>
    </row>
    <row r="63" spans="1:19" ht="39.75" customHeight="1" x14ac:dyDescent="0.35">
      <c r="A63" s="176" t="s">
        <v>227</v>
      </c>
      <c r="B63" s="176" t="s">
        <v>487</v>
      </c>
      <c r="C63" s="176" t="s">
        <v>488</v>
      </c>
      <c r="D63" s="176" t="s">
        <v>489</v>
      </c>
      <c r="E63" s="176" t="s">
        <v>490</v>
      </c>
      <c r="F63" s="176" t="s">
        <v>491</v>
      </c>
      <c r="G63" s="176" t="s">
        <v>492</v>
      </c>
      <c r="H63" s="176" t="s">
        <v>493</v>
      </c>
      <c r="I63" s="176" t="s">
        <v>494</v>
      </c>
      <c r="J63" s="176" t="s">
        <v>495</v>
      </c>
      <c r="K63" s="176" t="s">
        <v>496</v>
      </c>
      <c r="L63" s="176" t="s">
        <v>497</v>
      </c>
      <c r="M63" s="176" t="s">
        <v>498</v>
      </c>
      <c r="N63" s="176" t="s">
        <v>499</v>
      </c>
    </row>
    <row r="64" spans="1:19" ht="25.5" customHeight="1" x14ac:dyDescent="0.35">
      <c r="A64" s="41" t="s">
        <v>238</v>
      </c>
      <c r="B64" s="177" t="s">
        <v>500</v>
      </c>
      <c r="C64" s="178">
        <f t="shared" ref="C64:C73" si="5">E49</f>
        <v>200</v>
      </c>
      <c r="D64" s="178">
        <f t="shared" ref="D64:D73" si="6">I49</f>
        <v>50</v>
      </c>
      <c r="E64" s="178">
        <f t="shared" ref="E64:E73" si="7">M49</f>
        <v>30</v>
      </c>
      <c r="F64" s="178">
        <f t="shared" ref="F64:F73" si="8">Q49</f>
        <v>30</v>
      </c>
      <c r="G64" s="179">
        <f t="shared" ref="G64:G73" si="9">SUM(C64:F64)</f>
        <v>310</v>
      </c>
      <c r="H64" s="180">
        <f>IFERROR(K38,1)</f>
        <v>1.45</v>
      </c>
      <c r="I64" s="181">
        <f t="shared" ref="I64:I73" si="10">ROUND(G64*H64,0)</f>
        <v>450</v>
      </c>
      <c r="J64" s="122">
        <f t="shared" ref="J64:J73" si="11">I64*150</f>
        <v>67500</v>
      </c>
      <c r="K64" s="122">
        <f t="shared" ref="K64:K73" si="12">I64*150*1.15</f>
        <v>77625</v>
      </c>
      <c r="L64" s="182" t="s">
        <v>192</v>
      </c>
      <c r="M64" s="183" t="s">
        <v>501</v>
      </c>
      <c r="N64" s="184" t="str">
        <f t="shared" ref="N64:N73" si="13">IF(I64&gt;0,"Use col I → Sheet 2","—")</f>
        <v>Use col I → Sheet 2</v>
      </c>
    </row>
    <row r="65" spans="1:14" ht="25.5" customHeight="1" x14ac:dyDescent="0.35">
      <c r="A65" s="51" t="s">
        <v>240</v>
      </c>
      <c r="B65" s="185" t="s">
        <v>502</v>
      </c>
      <c r="C65" s="178">
        <f t="shared" si="5"/>
        <v>80</v>
      </c>
      <c r="D65" s="178">
        <f t="shared" si="6"/>
        <v>350</v>
      </c>
      <c r="E65" s="178">
        <f t="shared" si="7"/>
        <v>250</v>
      </c>
      <c r="F65" s="178">
        <f t="shared" si="8"/>
        <v>120</v>
      </c>
      <c r="G65" s="186">
        <f t="shared" si="9"/>
        <v>800</v>
      </c>
      <c r="H65" s="180">
        <f>IFERROR(K38,1)</f>
        <v>1.45</v>
      </c>
      <c r="I65" s="181">
        <f t="shared" si="10"/>
        <v>1160</v>
      </c>
      <c r="J65" s="122">
        <f t="shared" si="11"/>
        <v>174000</v>
      </c>
      <c r="K65" s="122">
        <f t="shared" si="12"/>
        <v>200099.99999999997</v>
      </c>
      <c r="L65" s="187" t="s">
        <v>200</v>
      </c>
      <c r="M65" s="188" t="s">
        <v>501</v>
      </c>
      <c r="N65" s="189" t="str">
        <f t="shared" si="13"/>
        <v>Use col I → Sheet 2</v>
      </c>
    </row>
    <row r="66" spans="1:14" ht="25.5" customHeight="1" x14ac:dyDescent="0.35">
      <c r="A66" s="41" t="s">
        <v>242</v>
      </c>
      <c r="B66" s="177" t="s">
        <v>503</v>
      </c>
      <c r="C66" s="178">
        <f t="shared" si="5"/>
        <v>30</v>
      </c>
      <c r="D66" s="178">
        <f t="shared" si="6"/>
        <v>300</v>
      </c>
      <c r="E66" s="178">
        <f t="shared" si="7"/>
        <v>500</v>
      </c>
      <c r="F66" s="178">
        <f t="shared" si="8"/>
        <v>370</v>
      </c>
      <c r="G66" s="179">
        <f t="shared" si="9"/>
        <v>1200</v>
      </c>
      <c r="H66" s="180">
        <f>IFERROR(K38,1)</f>
        <v>1.45</v>
      </c>
      <c r="I66" s="181">
        <f t="shared" si="10"/>
        <v>1740</v>
      </c>
      <c r="J66" s="122">
        <f t="shared" si="11"/>
        <v>261000</v>
      </c>
      <c r="K66" s="122">
        <f t="shared" si="12"/>
        <v>300150</v>
      </c>
      <c r="L66" s="190" t="s">
        <v>212</v>
      </c>
      <c r="M66" s="183" t="s">
        <v>501</v>
      </c>
      <c r="N66" s="184" t="str">
        <f t="shared" si="13"/>
        <v>Use col I → Sheet 2</v>
      </c>
    </row>
    <row r="67" spans="1:14" ht="25.5" customHeight="1" x14ac:dyDescent="0.35">
      <c r="A67" s="51" t="s">
        <v>244</v>
      </c>
      <c r="B67" s="185" t="s">
        <v>504</v>
      </c>
      <c r="C67" s="178">
        <f t="shared" si="5"/>
        <v>60</v>
      </c>
      <c r="D67" s="178">
        <f t="shared" si="6"/>
        <v>300</v>
      </c>
      <c r="E67" s="178">
        <f t="shared" si="7"/>
        <v>350</v>
      </c>
      <c r="F67" s="178">
        <f t="shared" si="8"/>
        <v>190</v>
      </c>
      <c r="G67" s="186">
        <f t="shared" si="9"/>
        <v>900</v>
      </c>
      <c r="H67" s="180">
        <f>IFERROR(K38,1)</f>
        <v>1.45</v>
      </c>
      <c r="I67" s="181">
        <f t="shared" si="10"/>
        <v>1305</v>
      </c>
      <c r="J67" s="122">
        <f t="shared" si="11"/>
        <v>195750</v>
      </c>
      <c r="K67" s="122">
        <f t="shared" si="12"/>
        <v>225112.49999999997</v>
      </c>
      <c r="L67" s="187" t="s">
        <v>200</v>
      </c>
      <c r="M67" s="188" t="s">
        <v>501</v>
      </c>
      <c r="N67" s="189" t="str">
        <f t="shared" si="13"/>
        <v>Use col I → Sheet 2</v>
      </c>
    </row>
    <row r="68" spans="1:14" ht="25.5" customHeight="1" x14ac:dyDescent="0.35">
      <c r="A68" s="41" t="s">
        <v>246</v>
      </c>
      <c r="B68" s="177" t="s">
        <v>505</v>
      </c>
      <c r="C68" s="178">
        <f t="shared" si="5"/>
        <v>40</v>
      </c>
      <c r="D68" s="178">
        <f t="shared" si="6"/>
        <v>150</v>
      </c>
      <c r="E68" s="178">
        <f t="shared" si="7"/>
        <v>280</v>
      </c>
      <c r="F68" s="178">
        <f t="shared" si="8"/>
        <v>230</v>
      </c>
      <c r="G68" s="179">
        <f t="shared" si="9"/>
        <v>700</v>
      </c>
      <c r="H68" s="180">
        <f>IFERROR(K38,1)</f>
        <v>1.45</v>
      </c>
      <c r="I68" s="181">
        <f t="shared" si="10"/>
        <v>1015</v>
      </c>
      <c r="J68" s="122">
        <f t="shared" si="11"/>
        <v>152250</v>
      </c>
      <c r="K68" s="122">
        <f t="shared" si="12"/>
        <v>175087.5</v>
      </c>
      <c r="L68" s="190" t="s">
        <v>212</v>
      </c>
      <c r="M68" s="183" t="s">
        <v>501</v>
      </c>
      <c r="N68" s="184" t="str">
        <f t="shared" si="13"/>
        <v>Use col I → Sheet 2</v>
      </c>
    </row>
    <row r="69" spans="1:14" ht="25.5" customHeight="1" x14ac:dyDescent="0.35">
      <c r="A69" s="51" t="s">
        <v>248</v>
      </c>
      <c r="B69" s="185" t="s">
        <v>506</v>
      </c>
      <c r="C69" s="178">
        <f t="shared" si="5"/>
        <v>0</v>
      </c>
      <c r="D69" s="178">
        <f t="shared" si="6"/>
        <v>80</v>
      </c>
      <c r="E69" s="178">
        <f t="shared" si="7"/>
        <v>280</v>
      </c>
      <c r="F69" s="178">
        <f t="shared" si="8"/>
        <v>240</v>
      </c>
      <c r="G69" s="186">
        <f t="shared" si="9"/>
        <v>600</v>
      </c>
      <c r="H69" s="180">
        <f>IFERROR(K38,1)</f>
        <v>1.45</v>
      </c>
      <c r="I69" s="181">
        <f t="shared" si="10"/>
        <v>870</v>
      </c>
      <c r="J69" s="122">
        <f t="shared" si="11"/>
        <v>130500</v>
      </c>
      <c r="K69" s="122">
        <f t="shared" si="12"/>
        <v>150075</v>
      </c>
      <c r="L69" s="190" t="s">
        <v>212</v>
      </c>
      <c r="M69" s="188" t="s">
        <v>501</v>
      </c>
      <c r="N69" s="189" t="str">
        <f t="shared" si="13"/>
        <v>Use col I → Sheet 2</v>
      </c>
    </row>
    <row r="70" spans="1:14" ht="25.5" customHeight="1" x14ac:dyDescent="0.35">
      <c r="A70" s="41" t="s">
        <v>250</v>
      </c>
      <c r="B70" s="177" t="s">
        <v>507</v>
      </c>
      <c r="C70" s="178">
        <f t="shared" si="5"/>
        <v>80</v>
      </c>
      <c r="D70" s="178">
        <f t="shared" si="6"/>
        <v>180</v>
      </c>
      <c r="E70" s="178">
        <f t="shared" si="7"/>
        <v>120</v>
      </c>
      <c r="F70" s="178">
        <f t="shared" si="8"/>
        <v>80</v>
      </c>
      <c r="G70" s="179">
        <f t="shared" si="9"/>
        <v>460</v>
      </c>
      <c r="H70" s="180">
        <f>IFERROR(K38,1)</f>
        <v>1.45</v>
      </c>
      <c r="I70" s="181">
        <f t="shared" si="10"/>
        <v>667</v>
      </c>
      <c r="J70" s="122">
        <f t="shared" si="11"/>
        <v>100050</v>
      </c>
      <c r="K70" s="122">
        <f t="shared" si="12"/>
        <v>115057.49999999999</v>
      </c>
      <c r="L70" s="182" t="s">
        <v>192</v>
      </c>
      <c r="M70" s="183" t="s">
        <v>501</v>
      </c>
      <c r="N70" s="184" t="str">
        <f t="shared" si="13"/>
        <v>Use col I → Sheet 2</v>
      </c>
    </row>
    <row r="71" spans="1:14" ht="25.5" customHeight="1" x14ac:dyDescent="0.35">
      <c r="A71" s="51" t="s">
        <v>252</v>
      </c>
      <c r="B71" s="185" t="s">
        <v>508</v>
      </c>
      <c r="C71" s="178">
        <f t="shared" si="5"/>
        <v>40</v>
      </c>
      <c r="D71" s="178">
        <f t="shared" si="6"/>
        <v>60</v>
      </c>
      <c r="E71" s="178">
        <f t="shared" si="7"/>
        <v>80</v>
      </c>
      <c r="F71" s="178">
        <f t="shared" si="8"/>
        <v>60</v>
      </c>
      <c r="G71" s="186">
        <f t="shared" si="9"/>
        <v>240</v>
      </c>
      <c r="H71" s="180">
        <f>IFERROR(K38,1)</f>
        <v>1.45</v>
      </c>
      <c r="I71" s="181">
        <f t="shared" si="10"/>
        <v>348</v>
      </c>
      <c r="J71" s="122">
        <f t="shared" si="11"/>
        <v>52200</v>
      </c>
      <c r="K71" s="122">
        <f t="shared" si="12"/>
        <v>60029.999999999993</v>
      </c>
      <c r="L71" s="191" t="s">
        <v>206</v>
      </c>
      <c r="M71" s="188" t="s">
        <v>501</v>
      </c>
      <c r="N71" s="189" t="str">
        <f t="shared" si="13"/>
        <v>Use col I → Sheet 2</v>
      </c>
    </row>
    <row r="72" spans="1:14" ht="25.5" customHeight="1" x14ac:dyDescent="0.35">
      <c r="A72" s="41" t="s">
        <v>255</v>
      </c>
      <c r="B72" s="177" t="s">
        <v>509</v>
      </c>
      <c r="C72" s="178">
        <f t="shared" si="5"/>
        <v>60</v>
      </c>
      <c r="D72" s="178">
        <f t="shared" si="6"/>
        <v>80</v>
      </c>
      <c r="E72" s="178">
        <f t="shared" si="7"/>
        <v>100</v>
      </c>
      <c r="F72" s="178">
        <f t="shared" si="8"/>
        <v>110</v>
      </c>
      <c r="G72" s="179">
        <f t="shared" si="9"/>
        <v>350</v>
      </c>
      <c r="H72" s="180">
        <f>IFERROR(K38,1)</f>
        <v>1.45</v>
      </c>
      <c r="I72" s="181">
        <f t="shared" si="10"/>
        <v>508</v>
      </c>
      <c r="J72" s="122">
        <f t="shared" si="11"/>
        <v>76200</v>
      </c>
      <c r="K72" s="122">
        <f t="shared" si="12"/>
        <v>87630</v>
      </c>
      <c r="L72" s="190" t="s">
        <v>212</v>
      </c>
      <c r="M72" s="183" t="s">
        <v>501</v>
      </c>
      <c r="N72" s="184" t="str">
        <f t="shared" si="13"/>
        <v>Use col I → Sheet 2</v>
      </c>
    </row>
    <row r="73" spans="1:14" ht="25.5" customHeight="1" x14ac:dyDescent="0.35">
      <c r="A73" s="51" t="s">
        <v>257</v>
      </c>
      <c r="B73" s="185" t="s">
        <v>510</v>
      </c>
      <c r="C73" s="178">
        <f t="shared" si="5"/>
        <v>60</v>
      </c>
      <c r="D73" s="178">
        <f t="shared" si="6"/>
        <v>100</v>
      </c>
      <c r="E73" s="178">
        <f t="shared" si="7"/>
        <v>120</v>
      </c>
      <c r="F73" s="178">
        <f t="shared" si="8"/>
        <v>120</v>
      </c>
      <c r="G73" s="186">
        <f t="shared" si="9"/>
        <v>400</v>
      </c>
      <c r="H73" s="180">
        <f>IFERROR(K38,1)</f>
        <v>1.45</v>
      </c>
      <c r="I73" s="181">
        <f t="shared" si="10"/>
        <v>580</v>
      </c>
      <c r="J73" s="122">
        <f t="shared" si="11"/>
        <v>87000</v>
      </c>
      <c r="K73" s="122">
        <f t="shared" si="12"/>
        <v>100049.99999999999</v>
      </c>
      <c r="L73" s="191" t="s">
        <v>206</v>
      </c>
      <c r="M73" s="188" t="s">
        <v>501</v>
      </c>
      <c r="N73" s="189" t="str">
        <f t="shared" si="13"/>
        <v>Use col I → Sheet 2</v>
      </c>
    </row>
    <row r="74" spans="1:14" ht="30" customHeight="1" x14ac:dyDescent="0.35">
      <c r="A74" s="429" t="s">
        <v>511</v>
      </c>
      <c r="B74" s="429"/>
      <c r="C74" s="192">
        <f>SUM(C64:C73)</f>
        <v>650</v>
      </c>
      <c r="D74" s="192">
        <f>SUM(D64:D73)</f>
        <v>1650</v>
      </c>
      <c r="E74" s="192">
        <f>SUM(E64:E73)</f>
        <v>2110</v>
      </c>
      <c r="F74" s="192">
        <f>SUM(F64:F73)</f>
        <v>1550</v>
      </c>
      <c r="G74" s="192">
        <f>SUM(G64:G73)</f>
        <v>5960</v>
      </c>
      <c r="H74" s="192"/>
      <c r="I74" s="192">
        <f>SUM(I64:I73)</f>
        <v>8643</v>
      </c>
      <c r="J74" s="193">
        <f>SUM(J64:J73)</f>
        <v>1296450</v>
      </c>
      <c r="K74" s="193">
        <f>SUM(K64:K73)</f>
        <v>1490917.5</v>
      </c>
      <c r="L74" s="194"/>
      <c r="M74" s="194"/>
      <c r="N74" s="194"/>
    </row>
    <row r="76" spans="1:14" ht="25.5" customHeight="1" x14ac:dyDescent="0.35">
      <c r="A76" s="430" t="s">
        <v>512</v>
      </c>
      <c r="B76" s="430"/>
      <c r="C76" s="430"/>
      <c r="D76" s="430"/>
      <c r="E76" s="430"/>
      <c r="F76" s="430"/>
      <c r="G76" s="430"/>
      <c r="H76" s="430"/>
      <c r="I76" s="430"/>
      <c r="J76" s="430"/>
      <c r="K76" s="430"/>
      <c r="L76" s="430"/>
      <c r="M76" s="430"/>
      <c r="N76" s="430"/>
    </row>
    <row r="77" spans="1:14" ht="39.75" customHeight="1" x14ac:dyDescent="0.35">
      <c r="A77" s="195" t="s">
        <v>513</v>
      </c>
      <c r="B77" s="195" t="s">
        <v>514</v>
      </c>
      <c r="C77" s="195" t="s">
        <v>515</v>
      </c>
      <c r="D77" s="195" t="s">
        <v>516</v>
      </c>
      <c r="E77" s="195" t="s">
        <v>517</v>
      </c>
      <c r="F77" s="195" t="s">
        <v>518</v>
      </c>
      <c r="G77" s="195" t="s">
        <v>519</v>
      </c>
      <c r="H77" s="431" t="s">
        <v>498</v>
      </c>
      <c r="I77" s="431"/>
    </row>
    <row r="78" spans="1:14" ht="45.75" customHeight="1" x14ac:dyDescent="0.35">
      <c r="A78" s="196" t="s">
        <v>520</v>
      </c>
      <c r="B78" s="96" t="s">
        <v>521</v>
      </c>
      <c r="C78" s="96" t="s">
        <v>522</v>
      </c>
      <c r="D78" s="147" t="s">
        <v>523</v>
      </c>
      <c r="E78" s="147" t="s">
        <v>524</v>
      </c>
      <c r="F78" s="197" t="s">
        <v>525</v>
      </c>
      <c r="G78" s="171" t="s">
        <v>526</v>
      </c>
      <c r="H78" s="432" t="s">
        <v>527</v>
      </c>
      <c r="I78" s="432"/>
      <c r="J78" s="432"/>
      <c r="K78" s="432"/>
      <c r="L78" s="432"/>
      <c r="M78" s="432"/>
      <c r="N78" s="432"/>
    </row>
    <row r="79" spans="1:14" ht="45.75" customHeight="1" x14ac:dyDescent="0.35">
      <c r="A79" s="198" t="s">
        <v>528</v>
      </c>
      <c r="B79" s="104" t="s">
        <v>529</v>
      </c>
      <c r="C79" s="104" t="s">
        <v>530</v>
      </c>
      <c r="D79" s="147" t="s">
        <v>531</v>
      </c>
      <c r="E79" s="147" t="s">
        <v>532</v>
      </c>
      <c r="F79" s="199" t="s">
        <v>533</v>
      </c>
      <c r="G79" s="200" t="s">
        <v>534</v>
      </c>
      <c r="H79" s="433" t="s">
        <v>535</v>
      </c>
      <c r="I79" s="433"/>
      <c r="J79" s="433"/>
      <c r="K79" s="433"/>
      <c r="L79" s="433"/>
      <c r="M79" s="433"/>
      <c r="N79" s="433"/>
    </row>
    <row r="80" spans="1:14" ht="45.75" customHeight="1" x14ac:dyDescent="0.35">
      <c r="A80" s="196" t="s">
        <v>536</v>
      </c>
      <c r="B80" s="96" t="s">
        <v>537</v>
      </c>
      <c r="C80" s="96" t="s">
        <v>538</v>
      </c>
      <c r="D80" s="147" t="s">
        <v>539</v>
      </c>
      <c r="E80" s="147" t="s">
        <v>540</v>
      </c>
      <c r="F80" s="197" t="s">
        <v>541</v>
      </c>
      <c r="G80" s="171" t="s">
        <v>542</v>
      </c>
      <c r="H80" s="432" t="s">
        <v>543</v>
      </c>
      <c r="I80" s="432"/>
      <c r="J80" s="432"/>
      <c r="K80" s="432"/>
      <c r="L80" s="432"/>
      <c r="M80" s="432"/>
      <c r="N80" s="432"/>
    </row>
    <row r="81" spans="1:14" ht="45.75" customHeight="1" x14ac:dyDescent="0.35">
      <c r="A81" s="198" t="s">
        <v>544</v>
      </c>
      <c r="B81" s="104" t="s">
        <v>545</v>
      </c>
      <c r="C81" s="104" t="s">
        <v>546</v>
      </c>
      <c r="D81" s="147" t="s">
        <v>547</v>
      </c>
      <c r="E81" s="147" t="s">
        <v>548</v>
      </c>
      <c r="F81" s="199" t="s">
        <v>549</v>
      </c>
      <c r="G81" s="200" t="s">
        <v>550</v>
      </c>
      <c r="H81" s="433" t="s">
        <v>551</v>
      </c>
      <c r="I81" s="433"/>
      <c r="J81" s="433"/>
      <c r="K81" s="433"/>
      <c r="L81" s="433"/>
      <c r="M81" s="433"/>
      <c r="N81" s="433"/>
    </row>
    <row r="82" spans="1:14" ht="45.75" customHeight="1" x14ac:dyDescent="0.35">
      <c r="A82" s="196" t="s">
        <v>552</v>
      </c>
      <c r="B82" s="96" t="s">
        <v>553</v>
      </c>
      <c r="C82" s="96" t="s">
        <v>554</v>
      </c>
      <c r="D82" s="147" t="s">
        <v>555</v>
      </c>
      <c r="E82" s="147" t="s">
        <v>556</v>
      </c>
      <c r="F82" s="197" t="s">
        <v>557</v>
      </c>
      <c r="G82" s="171" t="s">
        <v>558</v>
      </c>
      <c r="H82" s="432" t="s">
        <v>559</v>
      </c>
      <c r="I82" s="432"/>
      <c r="J82" s="432"/>
      <c r="K82" s="432"/>
      <c r="L82" s="432"/>
      <c r="M82" s="432"/>
      <c r="N82" s="432"/>
    </row>
    <row r="83" spans="1:14" ht="45.75" customHeight="1" x14ac:dyDescent="0.35">
      <c r="A83" s="198" t="s">
        <v>560</v>
      </c>
      <c r="B83" s="104" t="s">
        <v>561</v>
      </c>
      <c r="C83" s="104" t="s">
        <v>562</v>
      </c>
      <c r="D83" s="147" t="s">
        <v>563</v>
      </c>
      <c r="E83" s="147" t="s">
        <v>564</v>
      </c>
      <c r="F83" s="199" t="s">
        <v>565</v>
      </c>
      <c r="G83" s="200" t="s">
        <v>566</v>
      </c>
      <c r="H83" s="433" t="s">
        <v>567</v>
      </c>
      <c r="I83" s="433"/>
      <c r="J83" s="433"/>
      <c r="K83" s="433"/>
      <c r="L83" s="433"/>
      <c r="M83" s="433"/>
      <c r="N83" s="433"/>
    </row>
    <row r="86" spans="1:14" ht="25.5" customHeight="1" x14ac:dyDescent="0.35">
      <c r="A86" s="404" t="s">
        <v>568</v>
      </c>
      <c r="B86" s="404"/>
      <c r="C86" s="404"/>
      <c r="D86" s="404"/>
      <c r="E86" s="404"/>
      <c r="F86" s="404"/>
      <c r="G86" s="404"/>
      <c r="H86" s="404"/>
      <c r="I86" s="404"/>
      <c r="J86" s="404"/>
      <c r="K86" s="404"/>
      <c r="L86" s="404"/>
      <c r="M86" s="404"/>
      <c r="N86" s="404"/>
    </row>
    <row r="87" spans="1:14" ht="39.75" customHeight="1" x14ac:dyDescent="0.35">
      <c r="A87" s="142" t="s">
        <v>569</v>
      </c>
      <c r="B87" s="142" t="s">
        <v>570</v>
      </c>
      <c r="C87" s="142" t="s">
        <v>571</v>
      </c>
      <c r="D87" s="142" t="s">
        <v>572</v>
      </c>
      <c r="E87" s="142" t="s">
        <v>573</v>
      </c>
      <c r="F87" s="142" t="s">
        <v>574</v>
      </c>
      <c r="G87" s="142" t="s">
        <v>575</v>
      </c>
      <c r="H87" s="142" t="s">
        <v>576</v>
      </c>
      <c r="I87" s="142" t="s">
        <v>577</v>
      </c>
      <c r="J87" s="405" t="s">
        <v>498</v>
      </c>
      <c r="K87" s="405"/>
      <c r="L87" s="405"/>
      <c r="M87" s="405"/>
      <c r="N87" s="405"/>
    </row>
    <row r="88" spans="1:14" ht="30" customHeight="1" x14ac:dyDescent="0.35">
      <c r="A88" s="41" t="s">
        <v>578</v>
      </c>
      <c r="B88" s="201" t="s">
        <v>579</v>
      </c>
      <c r="C88" s="96" t="s">
        <v>580</v>
      </c>
      <c r="D88" s="202">
        <v>120</v>
      </c>
      <c r="E88" s="203">
        <v>6</v>
      </c>
      <c r="F88" s="202">
        <v>1440</v>
      </c>
      <c r="G88" s="134">
        <v>0.8</v>
      </c>
      <c r="H88" s="204">
        <v>96</v>
      </c>
      <c r="I88" s="151" t="s">
        <v>581</v>
      </c>
      <c r="J88" s="432" t="s">
        <v>582</v>
      </c>
      <c r="K88" s="432"/>
      <c r="L88" s="432"/>
      <c r="M88" s="432"/>
      <c r="N88" s="432"/>
    </row>
    <row r="89" spans="1:14" ht="30" customHeight="1" x14ac:dyDescent="0.35">
      <c r="A89" s="51" t="s">
        <v>583</v>
      </c>
      <c r="B89" s="201" t="s">
        <v>584</v>
      </c>
      <c r="C89" s="104" t="s">
        <v>585</v>
      </c>
      <c r="D89" s="205">
        <v>140</v>
      </c>
      <c r="E89" s="206">
        <v>7</v>
      </c>
      <c r="F89" s="205">
        <v>1680</v>
      </c>
      <c r="G89" s="138">
        <v>0.85</v>
      </c>
      <c r="H89" s="204">
        <v>119</v>
      </c>
      <c r="I89" s="151" t="s">
        <v>586</v>
      </c>
      <c r="J89" s="433" t="s">
        <v>587</v>
      </c>
      <c r="K89" s="433"/>
      <c r="L89" s="433"/>
      <c r="M89" s="433"/>
      <c r="N89" s="433"/>
    </row>
    <row r="90" spans="1:14" ht="30" customHeight="1" x14ac:dyDescent="0.35">
      <c r="A90" s="41" t="s">
        <v>588</v>
      </c>
      <c r="B90" s="201" t="s">
        <v>584</v>
      </c>
      <c r="C90" s="96" t="s">
        <v>589</v>
      </c>
      <c r="D90" s="202">
        <v>150</v>
      </c>
      <c r="E90" s="203">
        <v>7.5</v>
      </c>
      <c r="F90" s="202">
        <v>1800</v>
      </c>
      <c r="G90" s="134">
        <v>0.8</v>
      </c>
      <c r="H90" s="204">
        <v>120</v>
      </c>
      <c r="I90" s="151" t="s">
        <v>590</v>
      </c>
      <c r="J90" s="432" t="s">
        <v>591</v>
      </c>
      <c r="K90" s="432"/>
      <c r="L90" s="432"/>
      <c r="M90" s="432"/>
      <c r="N90" s="432"/>
    </row>
    <row r="91" spans="1:14" ht="30" customHeight="1" x14ac:dyDescent="0.35">
      <c r="A91" s="51" t="s">
        <v>592</v>
      </c>
      <c r="B91" s="201" t="s">
        <v>584</v>
      </c>
      <c r="C91" s="104" t="s">
        <v>593</v>
      </c>
      <c r="D91" s="205">
        <v>150</v>
      </c>
      <c r="E91" s="206">
        <v>7.5</v>
      </c>
      <c r="F91" s="205">
        <v>1800</v>
      </c>
      <c r="G91" s="138">
        <v>0.8</v>
      </c>
      <c r="H91" s="204">
        <v>120</v>
      </c>
      <c r="I91" s="151" t="s">
        <v>594</v>
      </c>
      <c r="J91" s="433" t="s">
        <v>595</v>
      </c>
      <c r="K91" s="433"/>
      <c r="L91" s="433"/>
      <c r="M91" s="433"/>
      <c r="N91" s="433"/>
    </row>
    <row r="92" spans="1:14" ht="30" customHeight="1" x14ac:dyDescent="0.35">
      <c r="A92" s="41" t="s">
        <v>596</v>
      </c>
      <c r="B92" s="201" t="s">
        <v>597</v>
      </c>
      <c r="C92" s="96" t="s">
        <v>598</v>
      </c>
      <c r="D92" s="202">
        <v>160</v>
      </c>
      <c r="E92" s="203">
        <v>8</v>
      </c>
      <c r="F92" s="202">
        <v>1920</v>
      </c>
      <c r="G92" s="134">
        <v>0.85</v>
      </c>
      <c r="H92" s="204">
        <v>136</v>
      </c>
      <c r="I92" s="151" t="s">
        <v>599</v>
      </c>
      <c r="J92" s="432" t="s">
        <v>600</v>
      </c>
      <c r="K92" s="432"/>
      <c r="L92" s="432"/>
      <c r="M92" s="432"/>
      <c r="N92" s="432"/>
    </row>
    <row r="93" spans="1:14" ht="30" customHeight="1" x14ac:dyDescent="0.35">
      <c r="A93" s="51" t="s">
        <v>601</v>
      </c>
      <c r="B93" s="201" t="s">
        <v>597</v>
      </c>
      <c r="C93" s="104" t="s">
        <v>602</v>
      </c>
      <c r="D93" s="205">
        <v>160</v>
      </c>
      <c r="E93" s="206">
        <v>8</v>
      </c>
      <c r="F93" s="205">
        <v>1920</v>
      </c>
      <c r="G93" s="138">
        <v>0.85</v>
      </c>
      <c r="H93" s="204">
        <v>136</v>
      </c>
      <c r="I93" s="151" t="s">
        <v>599</v>
      </c>
      <c r="J93" s="433" t="s">
        <v>603</v>
      </c>
      <c r="K93" s="433"/>
      <c r="L93" s="433"/>
      <c r="M93" s="433"/>
      <c r="N93" s="433"/>
    </row>
    <row r="94" spans="1:14" ht="30" customHeight="1" x14ac:dyDescent="0.35">
      <c r="A94" s="41" t="s">
        <v>604</v>
      </c>
      <c r="B94" s="201" t="s">
        <v>597</v>
      </c>
      <c r="C94" s="96" t="s">
        <v>605</v>
      </c>
      <c r="D94" s="202">
        <v>160</v>
      </c>
      <c r="E94" s="203">
        <v>8</v>
      </c>
      <c r="F94" s="202">
        <v>1920</v>
      </c>
      <c r="G94" s="134">
        <v>0.85</v>
      </c>
      <c r="H94" s="204">
        <v>136</v>
      </c>
      <c r="I94" s="151" t="s">
        <v>606</v>
      </c>
      <c r="J94" s="432" t="s">
        <v>607</v>
      </c>
      <c r="K94" s="432"/>
      <c r="L94" s="432"/>
      <c r="M94" s="432"/>
      <c r="N94" s="432"/>
    </row>
    <row r="95" spans="1:14" ht="30" customHeight="1" x14ac:dyDescent="0.35">
      <c r="A95" s="51" t="s">
        <v>608</v>
      </c>
      <c r="B95" s="201" t="s">
        <v>584</v>
      </c>
      <c r="C95" s="104" t="s">
        <v>609</v>
      </c>
      <c r="D95" s="205">
        <v>150</v>
      </c>
      <c r="E95" s="206">
        <v>7.5</v>
      </c>
      <c r="F95" s="205">
        <v>1800</v>
      </c>
      <c r="G95" s="138">
        <v>0.8</v>
      </c>
      <c r="H95" s="204">
        <v>120</v>
      </c>
      <c r="I95" s="151" t="s">
        <v>590</v>
      </c>
      <c r="J95" s="433" t="s">
        <v>610</v>
      </c>
      <c r="K95" s="433"/>
      <c r="L95" s="433"/>
      <c r="M95" s="433"/>
      <c r="N95" s="433"/>
    </row>
    <row r="96" spans="1:14" ht="30" customHeight="1" x14ac:dyDescent="0.35">
      <c r="A96" s="41" t="s">
        <v>611</v>
      </c>
      <c r="B96" s="201" t="s">
        <v>612</v>
      </c>
      <c r="C96" s="96" t="s">
        <v>613</v>
      </c>
      <c r="D96" s="202">
        <v>160</v>
      </c>
      <c r="E96" s="203">
        <v>8</v>
      </c>
      <c r="F96" s="202">
        <v>1920</v>
      </c>
      <c r="G96" s="134">
        <v>0.9</v>
      </c>
      <c r="H96" s="204">
        <v>144</v>
      </c>
      <c r="I96" s="151" t="s">
        <v>614</v>
      </c>
      <c r="J96" s="432" t="s">
        <v>615</v>
      </c>
      <c r="K96" s="432"/>
      <c r="L96" s="432"/>
      <c r="M96" s="432"/>
      <c r="N96" s="432"/>
    </row>
    <row r="97" spans="1:19" ht="30" customHeight="1" x14ac:dyDescent="0.35">
      <c r="A97" s="51" t="s">
        <v>616</v>
      </c>
      <c r="B97" s="201" t="s">
        <v>584</v>
      </c>
      <c r="C97" s="104" t="s">
        <v>617</v>
      </c>
      <c r="D97" s="205">
        <v>140</v>
      </c>
      <c r="E97" s="206">
        <v>7</v>
      </c>
      <c r="F97" s="205">
        <v>1680</v>
      </c>
      <c r="G97" s="138">
        <v>0.75</v>
      </c>
      <c r="H97" s="204">
        <v>105</v>
      </c>
      <c r="I97" s="151" t="s">
        <v>599</v>
      </c>
      <c r="J97" s="433" t="s">
        <v>618</v>
      </c>
      <c r="K97" s="433"/>
      <c r="L97" s="433"/>
      <c r="M97" s="433"/>
      <c r="N97" s="433"/>
    </row>
    <row r="98" spans="1:19" ht="30" customHeight="1" x14ac:dyDescent="0.35">
      <c r="A98" s="41" t="s">
        <v>619</v>
      </c>
      <c r="B98" s="201" t="s">
        <v>579</v>
      </c>
      <c r="C98" s="96" t="s">
        <v>620</v>
      </c>
      <c r="D98" s="202">
        <v>130</v>
      </c>
      <c r="E98" s="203">
        <v>6.5</v>
      </c>
      <c r="F98" s="202">
        <v>1560</v>
      </c>
      <c r="G98" s="134">
        <v>0.8</v>
      </c>
      <c r="H98" s="204">
        <v>104</v>
      </c>
      <c r="I98" s="151" t="s">
        <v>586</v>
      </c>
      <c r="J98" s="432" t="s">
        <v>621</v>
      </c>
      <c r="K98" s="432"/>
      <c r="L98" s="432"/>
      <c r="M98" s="432"/>
      <c r="N98" s="432"/>
    </row>
    <row r="99" spans="1:19" ht="30" customHeight="1" x14ac:dyDescent="0.35">
      <c r="A99" s="51" t="s">
        <v>622</v>
      </c>
      <c r="B99" s="201" t="s">
        <v>579</v>
      </c>
      <c r="C99" s="104" t="s">
        <v>623</v>
      </c>
      <c r="D99" s="205">
        <v>120</v>
      </c>
      <c r="E99" s="206">
        <v>6</v>
      </c>
      <c r="F99" s="205">
        <v>1440</v>
      </c>
      <c r="G99" s="138">
        <v>0.75</v>
      </c>
      <c r="H99" s="204">
        <v>90</v>
      </c>
      <c r="I99" s="151" t="s">
        <v>581</v>
      </c>
      <c r="J99" s="433" t="s">
        <v>624</v>
      </c>
      <c r="K99" s="433"/>
      <c r="L99" s="433"/>
      <c r="M99" s="433"/>
      <c r="N99" s="433"/>
    </row>
    <row r="102" spans="1:19" ht="25.5" customHeight="1" x14ac:dyDescent="0.35">
      <c r="A102" s="434" t="s">
        <v>625</v>
      </c>
      <c r="B102" s="434"/>
      <c r="C102" s="434"/>
      <c r="D102" s="434"/>
      <c r="E102" s="434"/>
      <c r="F102" s="434"/>
      <c r="G102" s="434"/>
      <c r="H102" s="434"/>
      <c r="I102" s="434"/>
      <c r="J102" s="434"/>
      <c r="K102" s="434"/>
      <c r="L102" s="434"/>
      <c r="M102" s="434"/>
      <c r="N102" s="434"/>
      <c r="O102" s="434"/>
      <c r="P102" s="434"/>
      <c r="Q102" s="434"/>
      <c r="R102" s="434"/>
      <c r="S102" s="434"/>
    </row>
    <row r="103" spans="1:19" ht="27.75" customHeight="1" x14ac:dyDescent="0.35">
      <c r="A103" s="435" t="s">
        <v>626</v>
      </c>
      <c r="B103" s="435"/>
      <c r="C103" s="435"/>
      <c r="D103" s="435"/>
      <c r="E103" s="435"/>
      <c r="F103" s="435"/>
      <c r="G103" s="435"/>
      <c r="H103" s="435"/>
      <c r="I103" s="435"/>
      <c r="J103" s="435"/>
      <c r="K103" s="435"/>
      <c r="L103" s="435"/>
      <c r="M103" s="435"/>
      <c r="N103" s="435"/>
      <c r="O103" s="435"/>
      <c r="P103" s="435"/>
      <c r="Q103" s="435"/>
      <c r="R103" s="435"/>
      <c r="S103" s="435"/>
    </row>
    <row r="104" spans="1:19" ht="39.75" customHeight="1" x14ac:dyDescent="0.35">
      <c r="A104" s="195" t="s">
        <v>447</v>
      </c>
      <c r="B104" s="195" t="s">
        <v>227</v>
      </c>
      <c r="C104" s="195" t="s">
        <v>627</v>
      </c>
      <c r="D104" s="414" t="s">
        <v>628</v>
      </c>
      <c r="E104" s="414"/>
      <c r="F104" s="396" t="s">
        <v>629</v>
      </c>
      <c r="G104" s="396"/>
      <c r="H104" s="396"/>
      <c r="I104" s="401" t="s">
        <v>630</v>
      </c>
      <c r="J104" s="401"/>
      <c r="K104" s="401"/>
      <c r="L104" s="436" t="s">
        <v>631</v>
      </c>
      <c r="M104" s="436"/>
      <c r="N104" s="436"/>
      <c r="O104" s="405" t="s">
        <v>632</v>
      </c>
      <c r="P104" s="405"/>
      <c r="Q104" s="405"/>
      <c r="R104" s="437" t="s">
        <v>633</v>
      </c>
      <c r="S104" s="437"/>
    </row>
    <row r="105" spans="1:19" ht="105" customHeight="1" x14ac:dyDescent="0.35">
      <c r="A105" s="208" t="s">
        <v>465</v>
      </c>
      <c r="B105" s="41" t="s">
        <v>238</v>
      </c>
      <c r="C105" s="149" t="s">
        <v>192</v>
      </c>
      <c r="D105" s="438" t="s">
        <v>634</v>
      </c>
      <c r="E105" s="438"/>
      <c r="F105" s="439" t="s">
        <v>635</v>
      </c>
      <c r="G105" s="439"/>
      <c r="H105" s="439"/>
      <c r="I105" s="440" t="s">
        <v>636</v>
      </c>
      <c r="J105" s="440"/>
      <c r="K105" s="440"/>
      <c r="L105" s="441" t="s">
        <v>637</v>
      </c>
      <c r="M105" s="441"/>
      <c r="N105" s="441"/>
      <c r="O105" s="442" t="s">
        <v>638</v>
      </c>
      <c r="P105" s="442"/>
      <c r="Q105" s="442"/>
      <c r="R105" s="443" t="s">
        <v>639</v>
      </c>
      <c r="S105" s="443"/>
    </row>
    <row r="106" spans="1:19" ht="105" customHeight="1" x14ac:dyDescent="0.35">
      <c r="A106" s="208" t="s">
        <v>467</v>
      </c>
      <c r="B106" s="51" t="s">
        <v>240</v>
      </c>
      <c r="C106" s="147" t="s">
        <v>200</v>
      </c>
      <c r="D106" s="444" t="s">
        <v>640</v>
      </c>
      <c r="E106" s="444"/>
      <c r="F106" s="439" t="s">
        <v>641</v>
      </c>
      <c r="G106" s="439"/>
      <c r="H106" s="439"/>
      <c r="I106" s="440" t="s">
        <v>642</v>
      </c>
      <c r="J106" s="440"/>
      <c r="K106" s="440"/>
      <c r="L106" s="441" t="s">
        <v>643</v>
      </c>
      <c r="M106" s="441"/>
      <c r="N106" s="441"/>
      <c r="O106" s="442" t="s">
        <v>644</v>
      </c>
      <c r="P106" s="442"/>
      <c r="Q106" s="442"/>
      <c r="R106" s="445" t="s">
        <v>645</v>
      </c>
      <c r="S106" s="445"/>
    </row>
    <row r="107" spans="1:19" ht="105" customHeight="1" x14ac:dyDescent="0.35">
      <c r="A107" s="208" t="s">
        <v>469</v>
      </c>
      <c r="B107" s="41" t="s">
        <v>242</v>
      </c>
      <c r="C107" s="212" t="s">
        <v>212</v>
      </c>
      <c r="D107" s="438" t="s">
        <v>646</v>
      </c>
      <c r="E107" s="438"/>
      <c r="F107" s="439" t="s">
        <v>647</v>
      </c>
      <c r="G107" s="439"/>
      <c r="H107" s="439"/>
      <c r="I107" s="440" t="s">
        <v>648</v>
      </c>
      <c r="J107" s="440"/>
      <c r="K107" s="440"/>
      <c r="L107" s="441" t="s">
        <v>649</v>
      </c>
      <c r="M107" s="441"/>
      <c r="N107" s="441"/>
      <c r="O107" s="442" t="s">
        <v>650</v>
      </c>
      <c r="P107" s="442"/>
      <c r="Q107" s="442"/>
      <c r="R107" s="443" t="s">
        <v>651</v>
      </c>
      <c r="S107" s="443"/>
    </row>
    <row r="108" spans="1:19" ht="105" customHeight="1" x14ac:dyDescent="0.35">
      <c r="A108" s="208" t="s">
        <v>471</v>
      </c>
      <c r="B108" s="51" t="s">
        <v>244</v>
      </c>
      <c r="C108" s="147" t="s">
        <v>200</v>
      </c>
      <c r="D108" s="444" t="s">
        <v>652</v>
      </c>
      <c r="E108" s="444"/>
      <c r="F108" s="439" t="s">
        <v>653</v>
      </c>
      <c r="G108" s="439"/>
      <c r="H108" s="439"/>
      <c r="I108" s="440" t="s">
        <v>654</v>
      </c>
      <c r="J108" s="440"/>
      <c r="K108" s="440"/>
      <c r="L108" s="441" t="s">
        <v>655</v>
      </c>
      <c r="M108" s="441"/>
      <c r="N108" s="441"/>
      <c r="O108" s="442" t="s">
        <v>656</v>
      </c>
      <c r="P108" s="442"/>
      <c r="Q108" s="442"/>
      <c r="R108" s="445" t="s">
        <v>657</v>
      </c>
      <c r="S108" s="445"/>
    </row>
    <row r="109" spans="1:19" ht="105" customHeight="1" x14ac:dyDescent="0.35">
      <c r="A109" s="208" t="s">
        <v>473</v>
      </c>
      <c r="B109" s="41" t="s">
        <v>246</v>
      </c>
      <c r="C109" s="212" t="s">
        <v>212</v>
      </c>
      <c r="D109" s="438" t="s">
        <v>658</v>
      </c>
      <c r="E109" s="438"/>
      <c r="F109" s="439" t="s">
        <v>659</v>
      </c>
      <c r="G109" s="439"/>
      <c r="H109" s="439"/>
      <c r="I109" s="440" t="s">
        <v>660</v>
      </c>
      <c r="J109" s="440"/>
      <c r="K109" s="440"/>
      <c r="L109" s="441" t="s">
        <v>661</v>
      </c>
      <c r="M109" s="441"/>
      <c r="N109" s="441"/>
      <c r="O109" s="442" t="s">
        <v>662</v>
      </c>
      <c r="P109" s="442"/>
      <c r="Q109" s="442"/>
      <c r="R109" s="443" t="s">
        <v>663</v>
      </c>
      <c r="S109" s="443"/>
    </row>
    <row r="110" spans="1:19" ht="105" customHeight="1" x14ac:dyDescent="0.35">
      <c r="A110" s="208" t="s">
        <v>475</v>
      </c>
      <c r="B110" s="51" t="s">
        <v>248</v>
      </c>
      <c r="C110" s="212" t="s">
        <v>212</v>
      </c>
      <c r="D110" s="444" t="s">
        <v>664</v>
      </c>
      <c r="E110" s="444"/>
      <c r="F110" s="439" t="s">
        <v>665</v>
      </c>
      <c r="G110" s="439"/>
      <c r="H110" s="439"/>
      <c r="I110" s="440" t="s">
        <v>666</v>
      </c>
      <c r="J110" s="440"/>
      <c r="K110" s="440"/>
      <c r="L110" s="441" t="s">
        <v>667</v>
      </c>
      <c r="M110" s="441"/>
      <c r="N110" s="441"/>
      <c r="O110" s="442" t="s">
        <v>668</v>
      </c>
      <c r="P110" s="442"/>
      <c r="Q110" s="442"/>
      <c r="R110" s="445" t="s">
        <v>669</v>
      </c>
      <c r="S110" s="445"/>
    </row>
    <row r="111" spans="1:19" ht="105" customHeight="1" x14ac:dyDescent="0.35">
      <c r="A111" s="208" t="s">
        <v>477</v>
      </c>
      <c r="B111" s="41" t="s">
        <v>250</v>
      </c>
      <c r="C111" s="149" t="s">
        <v>192</v>
      </c>
      <c r="D111" s="438" t="s">
        <v>670</v>
      </c>
      <c r="E111" s="438"/>
      <c r="F111" s="439" t="s">
        <v>671</v>
      </c>
      <c r="G111" s="439"/>
      <c r="H111" s="439"/>
      <c r="I111" s="440" t="s">
        <v>672</v>
      </c>
      <c r="J111" s="440"/>
      <c r="K111" s="440"/>
      <c r="L111" s="441" t="s">
        <v>673</v>
      </c>
      <c r="M111" s="441"/>
      <c r="N111" s="441"/>
      <c r="O111" s="442" t="s">
        <v>674</v>
      </c>
      <c r="P111" s="442"/>
      <c r="Q111" s="442"/>
      <c r="R111" s="443" t="s">
        <v>675</v>
      </c>
      <c r="S111" s="443"/>
    </row>
    <row r="112" spans="1:19" ht="105" customHeight="1" x14ac:dyDescent="0.35">
      <c r="A112" s="208" t="s">
        <v>479</v>
      </c>
      <c r="B112" s="51" t="s">
        <v>252</v>
      </c>
      <c r="C112" s="151" t="s">
        <v>206</v>
      </c>
      <c r="D112" s="444" t="s">
        <v>676</v>
      </c>
      <c r="E112" s="444"/>
      <c r="F112" s="439" t="s">
        <v>677</v>
      </c>
      <c r="G112" s="439"/>
      <c r="H112" s="439"/>
      <c r="I112" s="440" t="s">
        <v>678</v>
      </c>
      <c r="J112" s="440"/>
      <c r="K112" s="440"/>
      <c r="L112" s="441" t="s">
        <v>679</v>
      </c>
      <c r="M112" s="441"/>
      <c r="N112" s="441"/>
      <c r="O112" s="442" t="s">
        <v>680</v>
      </c>
      <c r="P112" s="442"/>
      <c r="Q112" s="442"/>
      <c r="R112" s="445" t="s">
        <v>681</v>
      </c>
      <c r="S112" s="445"/>
    </row>
    <row r="113" spans="1:19" ht="105" customHeight="1" x14ac:dyDescent="0.35">
      <c r="A113" s="208" t="s">
        <v>481</v>
      </c>
      <c r="B113" s="41" t="s">
        <v>255</v>
      </c>
      <c r="C113" s="212" t="s">
        <v>212</v>
      </c>
      <c r="D113" s="438" t="s">
        <v>682</v>
      </c>
      <c r="E113" s="438"/>
      <c r="F113" s="439" t="s">
        <v>683</v>
      </c>
      <c r="G113" s="439"/>
      <c r="H113" s="439"/>
      <c r="I113" s="440" t="s">
        <v>684</v>
      </c>
      <c r="J113" s="440"/>
      <c r="K113" s="440"/>
      <c r="L113" s="441" t="s">
        <v>685</v>
      </c>
      <c r="M113" s="441"/>
      <c r="N113" s="441"/>
      <c r="O113" s="442" t="s">
        <v>686</v>
      </c>
      <c r="P113" s="442"/>
      <c r="Q113" s="442"/>
      <c r="R113" s="443" t="s">
        <v>687</v>
      </c>
      <c r="S113" s="443"/>
    </row>
    <row r="114" spans="1:19" ht="105" customHeight="1" x14ac:dyDescent="0.35">
      <c r="A114" s="208" t="s">
        <v>483</v>
      </c>
      <c r="B114" s="51" t="s">
        <v>257</v>
      </c>
      <c r="C114" s="151" t="s">
        <v>206</v>
      </c>
      <c r="D114" s="444" t="s">
        <v>688</v>
      </c>
      <c r="E114" s="444"/>
      <c r="F114" s="439" t="s">
        <v>689</v>
      </c>
      <c r="G114" s="439"/>
      <c r="H114" s="439"/>
      <c r="I114" s="440" t="s">
        <v>690</v>
      </c>
      <c r="J114" s="440"/>
      <c r="K114" s="440"/>
      <c r="L114" s="441" t="s">
        <v>691</v>
      </c>
      <c r="M114" s="441"/>
      <c r="N114" s="441"/>
      <c r="O114" s="442" t="s">
        <v>692</v>
      </c>
      <c r="P114" s="442"/>
      <c r="Q114" s="442"/>
      <c r="R114" s="445" t="s">
        <v>693</v>
      </c>
      <c r="S114" s="445"/>
    </row>
  </sheetData>
  <mergeCells count="153">
    <mergeCell ref="D113:E113"/>
    <mergeCell ref="F113:H113"/>
    <mergeCell ref="I113:K113"/>
    <mergeCell ref="L113:N113"/>
    <mergeCell ref="O113:Q113"/>
    <mergeCell ref="R113:S113"/>
    <mergeCell ref="D114:E114"/>
    <mergeCell ref="F114:H114"/>
    <mergeCell ref="I114:K114"/>
    <mergeCell ref="L114:N114"/>
    <mergeCell ref="O114:Q114"/>
    <mergeCell ref="R114:S114"/>
    <mergeCell ref="D111:E111"/>
    <mergeCell ref="F111:H111"/>
    <mergeCell ref="I111:K111"/>
    <mergeCell ref="L111:N111"/>
    <mergeCell ref="O111:Q111"/>
    <mergeCell ref="R111:S111"/>
    <mergeCell ref="D112:E112"/>
    <mergeCell ref="F112:H112"/>
    <mergeCell ref="I112:K112"/>
    <mergeCell ref="L112:N112"/>
    <mergeCell ref="O112:Q112"/>
    <mergeCell ref="R112:S112"/>
    <mergeCell ref="D109:E109"/>
    <mergeCell ref="F109:H109"/>
    <mergeCell ref="I109:K109"/>
    <mergeCell ref="L109:N109"/>
    <mergeCell ref="O109:Q109"/>
    <mergeCell ref="R109:S109"/>
    <mergeCell ref="D110:E110"/>
    <mergeCell ref="F110:H110"/>
    <mergeCell ref="I110:K110"/>
    <mergeCell ref="L110:N110"/>
    <mergeCell ref="O110:Q110"/>
    <mergeCell ref="R110:S110"/>
    <mergeCell ref="D107:E107"/>
    <mergeCell ref="F107:H107"/>
    <mergeCell ref="I107:K107"/>
    <mergeCell ref="L107:N107"/>
    <mergeCell ref="O107:Q107"/>
    <mergeCell ref="R107:S107"/>
    <mergeCell ref="D108:E108"/>
    <mergeCell ref="F108:H108"/>
    <mergeCell ref="I108:K108"/>
    <mergeCell ref="L108:N108"/>
    <mergeCell ref="O108:Q108"/>
    <mergeCell ref="R108:S108"/>
    <mergeCell ref="D105:E105"/>
    <mergeCell ref="F105:H105"/>
    <mergeCell ref="I105:K105"/>
    <mergeCell ref="L105:N105"/>
    <mergeCell ref="O105:Q105"/>
    <mergeCell ref="R105:S105"/>
    <mergeCell ref="D106:E106"/>
    <mergeCell ref="F106:H106"/>
    <mergeCell ref="I106:K106"/>
    <mergeCell ref="L106:N106"/>
    <mergeCell ref="O106:Q106"/>
    <mergeCell ref="R106:S106"/>
    <mergeCell ref="J97:N97"/>
    <mergeCell ref="J98:N98"/>
    <mergeCell ref="J99:N99"/>
    <mergeCell ref="A102:S102"/>
    <mergeCell ref="A103:S103"/>
    <mergeCell ref="D104:E104"/>
    <mergeCell ref="F104:H104"/>
    <mergeCell ref="I104:K104"/>
    <mergeCell ref="L104:N104"/>
    <mergeCell ref="O104:Q104"/>
    <mergeCell ref="R104:S104"/>
    <mergeCell ref="J88:N88"/>
    <mergeCell ref="J89:N89"/>
    <mergeCell ref="J90:N90"/>
    <mergeCell ref="J91:N91"/>
    <mergeCell ref="J92:N92"/>
    <mergeCell ref="J93:N93"/>
    <mergeCell ref="J94:N94"/>
    <mergeCell ref="J95:N95"/>
    <mergeCell ref="J96:N96"/>
    <mergeCell ref="H77:I77"/>
    <mergeCell ref="H78:N78"/>
    <mergeCell ref="H79:N79"/>
    <mergeCell ref="H80:N80"/>
    <mergeCell ref="H81:N81"/>
    <mergeCell ref="H82:N82"/>
    <mergeCell ref="H83:N83"/>
    <mergeCell ref="A86:N86"/>
    <mergeCell ref="J87:N87"/>
    <mergeCell ref="D43:F43"/>
    <mergeCell ref="G43:I43"/>
    <mergeCell ref="J43:N43"/>
    <mergeCell ref="A46:N46"/>
    <mergeCell ref="A47:N47"/>
    <mergeCell ref="A60:C60"/>
    <mergeCell ref="A62:N62"/>
    <mergeCell ref="A74:B74"/>
    <mergeCell ref="A76:N76"/>
    <mergeCell ref="D40:F40"/>
    <mergeCell ref="G40:I40"/>
    <mergeCell ref="J40:N40"/>
    <mergeCell ref="D41:F41"/>
    <mergeCell ref="G41:I41"/>
    <mergeCell ref="J41:N41"/>
    <mergeCell ref="D42:F42"/>
    <mergeCell ref="G42:I42"/>
    <mergeCell ref="J42:N42"/>
    <mergeCell ref="A38:B38"/>
    <mergeCell ref="C38:D38"/>
    <mergeCell ref="E38:F38"/>
    <mergeCell ref="G38:H38"/>
    <mergeCell ref="I38:J38"/>
    <mergeCell ref="K38:L38"/>
    <mergeCell ref="M38:N38"/>
    <mergeCell ref="D39:F39"/>
    <mergeCell ref="G39:J39"/>
    <mergeCell ref="K39:N39"/>
    <mergeCell ref="H29:L29"/>
    <mergeCell ref="H30:L30"/>
    <mergeCell ref="H31:L31"/>
    <mergeCell ref="H32:L32"/>
    <mergeCell ref="H33:L33"/>
    <mergeCell ref="H34:L34"/>
    <mergeCell ref="A35:L35"/>
    <mergeCell ref="M35:N35"/>
    <mergeCell ref="A37:N37"/>
    <mergeCell ref="H20:L20"/>
    <mergeCell ref="H21:L21"/>
    <mergeCell ref="H22:L22"/>
    <mergeCell ref="H23:L23"/>
    <mergeCell ref="A24:L24"/>
    <mergeCell ref="M24:N24"/>
    <mergeCell ref="A26:N26"/>
    <mergeCell ref="H27:L27"/>
    <mergeCell ref="H28:L28"/>
    <mergeCell ref="H11:L11"/>
    <mergeCell ref="H12:L12"/>
    <mergeCell ref="H13:L13"/>
    <mergeCell ref="H14:L14"/>
    <mergeCell ref="A15:L15"/>
    <mergeCell ref="M15:N15"/>
    <mergeCell ref="A17:N17"/>
    <mergeCell ref="H18:L18"/>
    <mergeCell ref="H19:L19"/>
    <mergeCell ref="A1:N1"/>
    <mergeCell ref="A2:N2"/>
    <mergeCell ref="A4:N4"/>
    <mergeCell ref="A5:N5"/>
    <mergeCell ref="A6:N6"/>
    <mergeCell ref="H7:L7"/>
    <mergeCell ref="H8:L8"/>
    <mergeCell ref="H9:L9"/>
    <mergeCell ref="H10:L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2"/>
  <sheetViews>
    <sheetView showGridLines="0" tabSelected="1" zoomScaleNormal="100" workbookViewId="0">
      <selection sqref="A1:K1"/>
    </sheetView>
  </sheetViews>
  <sheetFormatPr defaultColWidth="8.6328125" defaultRowHeight="14.5" x14ac:dyDescent="0.35"/>
  <cols>
    <col min="1" max="1" width="4" customWidth="1"/>
    <col min="2" max="2" width="26" customWidth="1"/>
    <col min="3" max="3" width="22" customWidth="1"/>
    <col min="4" max="10" width="14" customWidth="1"/>
    <col min="11" max="11" width="12" customWidth="1"/>
  </cols>
  <sheetData>
    <row r="1" spans="1:11" ht="36" customHeight="1" x14ac:dyDescent="0.35">
      <c r="A1" s="386" t="s">
        <v>694</v>
      </c>
      <c r="B1" s="386"/>
      <c r="C1" s="386"/>
      <c r="D1" s="386"/>
      <c r="E1" s="386"/>
      <c r="F1" s="386"/>
      <c r="G1" s="386"/>
      <c r="H1" s="386"/>
      <c r="I1" s="386"/>
      <c r="J1" s="386"/>
      <c r="K1" s="386"/>
    </row>
    <row r="2" spans="1:11" ht="15" customHeight="1" x14ac:dyDescent="0.35">
      <c r="A2" s="1" t="s">
        <v>695</v>
      </c>
      <c r="B2" s="1"/>
      <c r="C2" s="1"/>
      <c r="D2" s="1"/>
      <c r="E2" s="1"/>
      <c r="F2" s="1"/>
      <c r="G2" s="1"/>
      <c r="H2" s="1"/>
      <c r="I2" s="1"/>
      <c r="J2" s="1"/>
      <c r="K2" s="1"/>
    </row>
    <row r="4" spans="1:11" ht="24" customHeight="1" x14ac:dyDescent="0.35">
      <c r="A4" s="390" t="s">
        <v>696</v>
      </c>
      <c r="B4" s="390"/>
      <c r="C4" s="390"/>
      <c r="D4" s="390"/>
      <c r="E4" s="390"/>
      <c r="F4" s="390"/>
      <c r="G4" s="390"/>
      <c r="H4" s="390"/>
      <c r="I4" s="390"/>
      <c r="J4" s="390"/>
      <c r="K4" s="390"/>
    </row>
    <row r="5" spans="1:11" ht="39.75" customHeight="1" x14ac:dyDescent="0.35">
      <c r="A5" s="142" t="s">
        <v>57</v>
      </c>
      <c r="B5" s="142" t="s">
        <v>697</v>
      </c>
      <c r="C5" s="142" t="s">
        <v>698</v>
      </c>
      <c r="D5" s="142" t="s">
        <v>699</v>
      </c>
      <c r="E5" s="142" t="s">
        <v>700</v>
      </c>
      <c r="F5" s="142" t="s">
        <v>701</v>
      </c>
      <c r="G5" s="142" t="s">
        <v>702</v>
      </c>
      <c r="H5" s="142" t="s">
        <v>703</v>
      </c>
      <c r="I5" s="142" t="s">
        <v>704</v>
      </c>
      <c r="J5" s="142" t="s">
        <v>705</v>
      </c>
      <c r="K5" s="142" t="s">
        <v>706</v>
      </c>
    </row>
    <row r="6" spans="1:11" ht="55.5" customHeight="1" x14ac:dyDescent="0.35">
      <c r="A6" s="55" t="s">
        <v>3</v>
      </c>
      <c r="B6" s="119" t="s">
        <v>707</v>
      </c>
      <c r="C6" s="78" t="s">
        <v>708</v>
      </c>
      <c r="D6" s="213">
        <v>0.7</v>
      </c>
      <c r="E6" s="213">
        <v>0.3</v>
      </c>
      <c r="F6" s="213">
        <v>0.7</v>
      </c>
      <c r="G6" s="80" t="s">
        <v>709</v>
      </c>
      <c r="H6" s="78" t="s">
        <v>710</v>
      </c>
      <c r="I6" s="80" t="s">
        <v>211</v>
      </c>
      <c r="J6" s="146" t="s">
        <v>711</v>
      </c>
      <c r="K6" s="214" t="s">
        <v>198</v>
      </c>
    </row>
    <row r="7" spans="1:11" ht="55.5" customHeight="1" x14ac:dyDescent="0.35">
      <c r="A7" s="67" t="s">
        <v>9</v>
      </c>
      <c r="B7" s="165" t="s">
        <v>712</v>
      </c>
      <c r="C7" s="215" t="s">
        <v>713</v>
      </c>
      <c r="D7" s="213">
        <v>0.8</v>
      </c>
      <c r="E7" s="213">
        <v>0.2</v>
      </c>
      <c r="F7" s="213">
        <v>0.8</v>
      </c>
      <c r="G7" s="216" t="s">
        <v>205</v>
      </c>
      <c r="H7" s="215" t="s">
        <v>714</v>
      </c>
      <c r="I7" s="216" t="s">
        <v>205</v>
      </c>
      <c r="J7" s="217" t="s">
        <v>715</v>
      </c>
      <c r="K7" s="214" t="s">
        <v>716</v>
      </c>
    </row>
    <row r="8" spans="1:11" ht="55.5" customHeight="1" x14ac:dyDescent="0.35">
      <c r="A8" s="59" t="s">
        <v>12</v>
      </c>
      <c r="B8" s="123" t="s">
        <v>717</v>
      </c>
      <c r="C8" s="83" t="s">
        <v>718</v>
      </c>
      <c r="D8" s="213">
        <v>0.8</v>
      </c>
      <c r="E8" s="213">
        <v>0.2</v>
      </c>
      <c r="F8" s="213">
        <v>0.8</v>
      </c>
      <c r="G8" s="85" t="s">
        <v>197</v>
      </c>
      <c r="H8" s="83" t="s">
        <v>719</v>
      </c>
      <c r="I8" s="85" t="s">
        <v>197</v>
      </c>
      <c r="J8" s="150" t="s">
        <v>720</v>
      </c>
      <c r="K8" s="214" t="s">
        <v>716</v>
      </c>
    </row>
    <row r="9" spans="1:11" ht="55.5" customHeight="1" x14ac:dyDescent="0.35">
      <c r="A9" s="63" t="s">
        <v>15</v>
      </c>
      <c r="B9" s="127" t="s">
        <v>721</v>
      </c>
      <c r="C9" s="88" t="s">
        <v>722</v>
      </c>
      <c r="D9" s="213">
        <v>0.2</v>
      </c>
      <c r="E9" s="213">
        <v>0.8</v>
      </c>
      <c r="F9" s="213">
        <v>0.2</v>
      </c>
      <c r="G9" s="90" t="s">
        <v>217</v>
      </c>
      <c r="H9" s="88" t="s">
        <v>723</v>
      </c>
      <c r="I9" s="90" t="s">
        <v>217</v>
      </c>
      <c r="J9" s="218" t="s">
        <v>724</v>
      </c>
      <c r="K9" s="214" t="s">
        <v>716</v>
      </c>
    </row>
    <row r="12" spans="1:11" ht="24" customHeight="1" x14ac:dyDescent="0.35">
      <c r="A12" s="400" t="s">
        <v>725</v>
      </c>
      <c r="B12" s="400"/>
      <c r="C12" s="400"/>
      <c r="D12" s="400"/>
      <c r="E12" s="400"/>
      <c r="F12" s="400"/>
      <c r="G12" s="400"/>
      <c r="H12" s="400"/>
      <c r="I12" s="400"/>
      <c r="J12" s="400"/>
      <c r="K12" s="400"/>
    </row>
    <row r="13" spans="1:11" ht="39.75" customHeight="1" x14ac:dyDescent="0.35">
      <c r="A13" s="113" t="s">
        <v>57</v>
      </c>
      <c r="B13" s="113" t="s">
        <v>726</v>
      </c>
      <c r="C13" s="113" t="s">
        <v>727</v>
      </c>
      <c r="D13" s="113" t="s">
        <v>728</v>
      </c>
      <c r="E13" s="113" t="s">
        <v>729</v>
      </c>
      <c r="F13" s="113" t="s">
        <v>730</v>
      </c>
      <c r="G13" s="113" t="s">
        <v>731</v>
      </c>
      <c r="H13" s="113" t="s">
        <v>732</v>
      </c>
      <c r="I13" s="113" t="s">
        <v>733</v>
      </c>
      <c r="J13" s="113" t="s">
        <v>734</v>
      </c>
      <c r="K13" s="113" t="s">
        <v>190</v>
      </c>
    </row>
    <row r="14" spans="1:11" ht="36" customHeight="1" x14ac:dyDescent="0.35">
      <c r="A14" s="140" t="s">
        <v>3</v>
      </c>
      <c r="B14" s="41" t="s">
        <v>735</v>
      </c>
      <c r="C14" s="96" t="s">
        <v>736</v>
      </c>
      <c r="D14" s="219">
        <v>500000</v>
      </c>
      <c r="E14" s="220">
        <v>0.35</v>
      </c>
      <c r="F14" s="122">
        <f t="shared" ref="F14:F20" si="0">D14*E14</f>
        <v>175000</v>
      </c>
      <c r="G14" s="220">
        <v>0.3</v>
      </c>
      <c r="H14" s="221">
        <f t="shared" ref="H14:H20" si="1">IF(K14="Y",F14*G14,0)</f>
        <v>52500</v>
      </c>
      <c r="I14" s="122">
        <f t="shared" ref="I14:I20" si="2">IF(K14="Y",F14*(1-G14),0)</f>
        <v>122499.99999999999</v>
      </c>
      <c r="J14" s="53" t="s">
        <v>211</v>
      </c>
      <c r="K14" s="222" t="s">
        <v>198</v>
      </c>
    </row>
    <row r="15" spans="1:11" ht="36" customHeight="1" x14ac:dyDescent="0.35">
      <c r="A15" s="141" t="s">
        <v>9</v>
      </c>
      <c r="B15" s="51" t="s">
        <v>737</v>
      </c>
      <c r="C15" s="104" t="s">
        <v>738</v>
      </c>
      <c r="D15" s="219">
        <v>800000</v>
      </c>
      <c r="E15" s="220">
        <v>0.4</v>
      </c>
      <c r="F15" s="122">
        <f t="shared" si="0"/>
        <v>320000</v>
      </c>
      <c r="G15" s="220">
        <v>0.3</v>
      </c>
      <c r="H15" s="221">
        <f t="shared" si="1"/>
        <v>96000</v>
      </c>
      <c r="I15" s="122">
        <f t="shared" si="2"/>
        <v>224000</v>
      </c>
      <c r="J15" s="49" t="s">
        <v>205</v>
      </c>
      <c r="K15" s="222" t="s">
        <v>198</v>
      </c>
    </row>
    <row r="16" spans="1:11" ht="36" customHeight="1" x14ac:dyDescent="0.35">
      <c r="A16" s="140" t="s">
        <v>12</v>
      </c>
      <c r="B16" s="41" t="s">
        <v>739</v>
      </c>
      <c r="C16" s="96" t="s">
        <v>740</v>
      </c>
      <c r="D16" s="219">
        <v>300000</v>
      </c>
      <c r="E16" s="220">
        <v>0.3</v>
      </c>
      <c r="F16" s="122">
        <f t="shared" si="0"/>
        <v>90000</v>
      </c>
      <c r="G16" s="220">
        <v>0.25</v>
      </c>
      <c r="H16" s="221">
        <f t="shared" si="1"/>
        <v>22500</v>
      </c>
      <c r="I16" s="122">
        <f t="shared" si="2"/>
        <v>67500</v>
      </c>
      <c r="J16" s="53" t="s">
        <v>211</v>
      </c>
      <c r="K16" s="222" t="s">
        <v>198</v>
      </c>
    </row>
    <row r="17" spans="1:11" ht="36" customHeight="1" x14ac:dyDescent="0.35">
      <c r="A17" s="141" t="s">
        <v>15</v>
      </c>
      <c r="B17" s="51" t="s">
        <v>741</v>
      </c>
      <c r="C17" s="104" t="s">
        <v>742</v>
      </c>
      <c r="D17" s="219">
        <v>1200000</v>
      </c>
      <c r="E17" s="220">
        <v>0.2</v>
      </c>
      <c r="F17" s="122">
        <f t="shared" si="0"/>
        <v>240000</v>
      </c>
      <c r="G17" s="220">
        <v>0.2</v>
      </c>
      <c r="H17" s="221">
        <f t="shared" si="1"/>
        <v>48000</v>
      </c>
      <c r="I17" s="122">
        <f t="shared" si="2"/>
        <v>192000</v>
      </c>
      <c r="J17" s="49" t="s">
        <v>205</v>
      </c>
      <c r="K17" s="222" t="s">
        <v>198</v>
      </c>
    </row>
    <row r="18" spans="1:11" ht="36" customHeight="1" x14ac:dyDescent="0.35">
      <c r="A18" s="140" t="s">
        <v>18</v>
      </c>
      <c r="B18" s="41" t="s">
        <v>743</v>
      </c>
      <c r="C18" s="96" t="s">
        <v>744</v>
      </c>
      <c r="D18" s="219">
        <v>400000</v>
      </c>
      <c r="E18" s="220">
        <v>0.25</v>
      </c>
      <c r="F18" s="122">
        <f t="shared" si="0"/>
        <v>100000</v>
      </c>
      <c r="G18" s="220">
        <v>0.15</v>
      </c>
      <c r="H18" s="221">
        <f t="shared" si="1"/>
        <v>15000</v>
      </c>
      <c r="I18" s="122">
        <f t="shared" si="2"/>
        <v>85000</v>
      </c>
      <c r="J18" s="53" t="s">
        <v>205</v>
      </c>
      <c r="K18" s="222" t="s">
        <v>198</v>
      </c>
    </row>
    <row r="19" spans="1:11" ht="36" customHeight="1" x14ac:dyDescent="0.35">
      <c r="A19" s="141" t="s">
        <v>21</v>
      </c>
      <c r="B19" s="51" t="s">
        <v>745</v>
      </c>
      <c r="C19" s="104" t="s">
        <v>746</v>
      </c>
      <c r="D19" s="219">
        <v>200000</v>
      </c>
      <c r="E19" s="220">
        <v>0.3</v>
      </c>
      <c r="F19" s="122">
        <f t="shared" si="0"/>
        <v>60000</v>
      </c>
      <c r="G19" s="220">
        <v>0.2</v>
      </c>
      <c r="H19" s="221">
        <f t="shared" si="1"/>
        <v>12000</v>
      </c>
      <c r="I19" s="122">
        <f t="shared" si="2"/>
        <v>48000</v>
      </c>
      <c r="J19" s="49" t="s">
        <v>197</v>
      </c>
      <c r="K19" s="222" t="s">
        <v>198</v>
      </c>
    </row>
    <row r="20" spans="1:11" ht="36" customHeight="1" x14ac:dyDescent="0.35">
      <c r="A20" s="140" t="s">
        <v>24</v>
      </c>
      <c r="B20" s="41" t="s">
        <v>747</v>
      </c>
      <c r="C20" s="96" t="s">
        <v>748</v>
      </c>
      <c r="D20" s="219">
        <v>150000</v>
      </c>
      <c r="E20" s="220">
        <v>0.5</v>
      </c>
      <c r="F20" s="122">
        <f t="shared" si="0"/>
        <v>75000</v>
      </c>
      <c r="G20" s="220">
        <v>0.25</v>
      </c>
      <c r="H20" s="221">
        <f t="shared" si="1"/>
        <v>18750</v>
      </c>
      <c r="I20" s="122">
        <f t="shared" si="2"/>
        <v>56250</v>
      </c>
      <c r="J20" s="53" t="s">
        <v>211</v>
      </c>
      <c r="K20" s="222" t="s">
        <v>198</v>
      </c>
    </row>
    <row r="21" spans="1:11" ht="27.75" customHeight="1" x14ac:dyDescent="0.35">
      <c r="A21" s="110"/>
      <c r="B21" s="391" t="s">
        <v>749</v>
      </c>
      <c r="C21" s="391"/>
      <c r="D21" s="391"/>
      <c r="E21" s="391"/>
      <c r="F21" s="223">
        <f>SUM(F14:F20)</f>
        <v>1060000</v>
      </c>
      <c r="H21" s="223">
        <f>SUM(H14:H20)</f>
        <v>264750</v>
      </c>
      <c r="I21" s="223">
        <f>SUM(I14:I20)</f>
        <v>795250</v>
      </c>
    </row>
    <row r="23" spans="1:11" ht="24" customHeight="1" x14ac:dyDescent="0.35">
      <c r="A23" s="404" t="s">
        <v>750</v>
      </c>
      <c r="B23" s="404"/>
      <c r="C23" s="404"/>
      <c r="D23" s="404"/>
      <c r="E23" s="404"/>
      <c r="F23" s="404"/>
      <c r="G23" s="404"/>
      <c r="H23" s="404"/>
      <c r="I23" s="404"/>
      <c r="J23" s="404"/>
      <c r="K23" s="404"/>
    </row>
    <row r="24" spans="1:11" ht="39.75" customHeight="1" x14ac:dyDescent="0.35">
      <c r="A24" s="142" t="s">
        <v>57</v>
      </c>
      <c r="B24" s="142" t="s">
        <v>751</v>
      </c>
      <c r="C24" s="142" t="s">
        <v>752</v>
      </c>
      <c r="D24" s="142" t="s">
        <v>753</v>
      </c>
      <c r="E24" s="142" t="s">
        <v>754</v>
      </c>
      <c r="F24" s="142" t="s">
        <v>755</v>
      </c>
      <c r="G24" s="142" t="s">
        <v>756</v>
      </c>
      <c r="H24" s="142" t="s">
        <v>757</v>
      </c>
      <c r="I24" s="142" t="s">
        <v>191</v>
      </c>
      <c r="J24" s="142" t="s">
        <v>758</v>
      </c>
      <c r="K24" s="142" t="s">
        <v>759</v>
      </c>
    </row>
    <row r="25" spans="1:11" ht="15" customHeight="1" x14ac:dyDescent="0.35">
      <c r="A25" s="446" t="s">
        <v>760</v>
      </c>
      <c r="B25" s="446"/>
      <c r="C25" s="446"/>
      <c r="D25" s="224">
        <v>2000000</v>
      </c>
    </row>
    <row r="26" spans="1:11" ht="36" customHeight="1" x14ac:dyDescent="0.35">
      <c r="A26" s="143" t="s">
        <v>3</v>
      </c>
      <c r="B26" s="41" t="s">
        <v>761</v>
      </c>
      <c r="C26" s="225" t="s">
        <v>762</v>
      </c>
      <c r="D26" s="197" t="s">
        <v>763</v>
      </c>
      <c r="E26" s="96" t="s">
        <v>764</v>
      </c>
      <c r="F26" s="226">
        <v>0.08</v>
      </c>
      <c r="G26" s="227">
        <v>0</v>
      </c>
      <c r="H26" s="53" t="s">
        <v>765</v>
      </c>
      <c r="I26" s="228" t="s">
        <v>766</v>
      </c>
      <c r="J26" s="222" t="s">
        <v>198</v>
      </c>
      <c r="K26" s="229">
        <f>IF(J26="Y",$D25*F26,-$D25*G26)</f>
        <v>160000</v>
      </c>
    </row>
    <row r="27" spans="1:11" ht="36" customHeight="1" x14ac:dyDescent="0.35">
      <c r="A27" s="144" t="s">
        <v>9</v>
      </c>
      <c r="B27" s="51" t="s">
        <v>767</v>
      </c>
      <c r="C27" s="230" t="s">
        <v>768</v>
      </c>
      <c r="D27" s="199" t="s">
        <v>769</v>
      </c>
      <c r="E27" s="104" t="s">
        <v>770</v>
      </c>
      <c r="F27" s="226">
        <v>0.1</v>
      </c>
      <c r="G27" s="231">
        <v>0</v>
      </c>
      <c r="H27" s="49" t="s">
        <v>765</v>
      </c>
      <c r="I27" s="232" t="s">
        <v>766</v>
      </c>
      <c r="J27" s="222" t="s">
        <v>198</v>
      </c>
      <c r="K27" s="233">
        <f>IF(J27="Y",$D25*F27,-$D25*G27)</f>
        <v>200000</v>
      </c>
    </row>
    <row r="28" spans="1:11" ht="36" customHeight="1" x14ac:dyDescent="0.35">
      <c r="A28" s="143" t="s">
        <v>12</v>
      </c>
      <c r="B28" s="41" t="s">
        <v>771</v>
      </c>
      <c r="C28" s="225" t="s">
        <v>772</v>
      </c>
      <c r="D28" s="197" t="s">
        <v>773</v>
      </c>
      <c r="E28" s="96" t="s">
        <v>774</v>
      </c>
      <c r="F28" s="226">
        <v>0.08</v>
      </c>
      <c r="G28" s="227">
        <v>0</v>
      </c>
      <c r="H28" s="53" t="s">
        <v>765</v>
      </c>
      <c r="I28" s="228" t="s">
        <v>766</v>
      </c>
      <c r="J28" s="222" t="s">
        <v>198</v>
      </c>
      <c r="K28" s="229">
        <f>IF(J28="Y",$D25*F28,-$D25*G28)</f>
        <v>160000</v>
      </c>
    </row>
    <row r="29" spans="1:11" ht="36" customHeight="1" x14ac:dyDescent="0.35">
      <c r="A29" s="144" t="s">
        <v>15</v>
      </c>
      <c r="B29" s="51" t="s">
        <v>775</v>
      </c>
      <c r="C29" s="230" t="s">
        <v>776</v>
      </c>
      <c r="D29" s="199" t="s">
        <v>777</v>
      </c>
      <c r="E29" s="104" t="s">
        <v>778</v>
      </c>
      <c r="F29" s="234">
        <v>0</v>
      </c>
      <c r="G29" s="235">
        <v>0.1</v>
      </c>
      <c r="H29" s="49" t="s">
        <v>765</v>
      </c>
      <c r="I29" s="232" t="s">
        <v>766</v>
      </c>
      <c r="J29" s="222" t="s">
        <v>198</v>
      </c>
      <c r="K29" s="233">
        <f>IF(J29="Y",$D25*F29,-$D25*G29)</f>
        <v>0</v>
      </c>
    </row>
    <row r="30" spans="1:11" ht="36" customHeight="1" x14ac:dyDescent="0.35">
      <c r="A30" s="143" t="s">
        <v>18</v>
      </c>
      <c r="B30" s="41" t="s">
        <v>779</v>
      </c>
      <c r="C30" s="225" t="s">
        <v>780</v>
      </c>
      <c r="D30" s="197" t="s">
        <v>781</v>
      </c>
      <c r="E30" s="96" t="s">
        <v>782</v>
      </c>
      <c r="F30" s="236">
        <v>0</v>
      </c>
      <c r="G30" s="235">
        <v>0.05</v>
      </c>
      <c r="H30" s="53" t="s">
        <v>765</v>
      </c>
      <c r="I30" s="228" t="s">
        <v>766</v>
      </c>
      <c r="J30" s="222" t="s">
        <v>198</v>
      </c>
      <c r="K30" s="229">
        <f>IF(J30="Y",$D25*F30,-$D25*G30)</f>
        <v>0</v>
      </c>
    </row>
    <row r="31" spans="1:11" ht="36" customHeight="1" x14ac:dyDescent="0.35">
      <c r="A31" s="144" t="s">
        <v>21</v>
      </c>
      <c r="B31" s="51" t="s">
        <v>783</v>
      </c>
      <c r="C31" s="230" t="s">
        <v>784</v>
      </c>
      <c r="D31" s="199" t="s">
        <v>785</v>
      </c>
      <c r="E31" s="104" t="s">
        <v>786</v>
      </c>
      <c r="F31" s="226">
        <v>0.06</v>
      </c>
      <c r="G31" s="231">
        <v>0</v>
      </c>
      <c r="H31" s="49" t="s">
        <v>787</v>
      </c>
      <c r="I31" s="232" t="s">
        <v>766</v>
      </c>
      <c r="J31" s="222" t="s">
        <v>198</v>
      </c>
      <c r="K31" s="233">
        <f>IF(J31="Y",$D25*F31,-$D25*G31)</f>
        <v>120000</v>
      </c>
    </row>
    <row r="32" spans="1:11" ht="36" customHeight="1" x14ac:dyDescent="0.35">
      <c r="A32" s="143" t="s">
        <v>24</v>
      </c>
      <c r="B32" s="41" t="s">
        <v>788</v>
      </c>
      <c r="C32" s="225" t="s">
        <v>789</v>
      </c>
      <c r="D32" s="197" t="s">
        <v>790</v>
      </c>
      <c r="E32" s="96" t="s">
        <v>791</v>
      </c>
      <c r="F32" s="226">
        <v>0.05</v>
      </c>
      <c r="G32" s="227">
        <v>0</v>
      </c>
      <c r="H32" s="53" t="s">
        <v>787</v>
      </c>
      <c r="I32" s="228" t="s">
        <v>766</v>
      </c>
      <c r="J32" s="222" t="s">
        <v>198</v>
      </c>
      <c r="K32" s="229">
        <f>IF(J32="Y",$D25*F32,-$D25*G32)</f>
        <v>100000</v>
      </c>
    </row>
  </sheetData>
  <mergeCells count="7">
    <mergeCell ref="A23:K23"/>
    <mergeCell ref="A25:C25"/>
    <mergeCell ref="A1:K1"/>
    <mergeCell ref="A2:K2"/>
    <mergeCell ref="A4:K4"/>
    <mergeCell ref="A12:K12"/>
    <mergeCell ref="B21:E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K55"/>
  <sheetViews>
    <sheetView showGridLines="0" zoomScaleNormal="100" workbookViewId="0">
      <selection sqref="A1:K1"/>
    </sheetView>
  </sheetViews>
  <sheetFormatPr defaultColWidth="8.6328125" defaultRowHeight="14.5" x14ac:dyDescent="0.35"/>
  <cols>
    <col min="1" max="1" width="4" customWidth="1"/>
    <col min="2" max="2" width="26" customWidth="1"/>
    <col min="3" max="3" width="18" customWidth="1"/>
    <col min="4" max="9" width="14" customWidth="1"/>
    <col min="10" max="11" width="12" customWidth="1"/>
  </cols>
  <sheetData>
    <row r="1" spans="1:11" ht="36" customHeight="1" x14ac:dyDescent="0.35">
      <c r="A1" s="386" t="s">
        <v>792</v>
      </c>
      <c r="B1" s="386"/>
      <c r="C1" s="386"/>
      <c r="D1" s="386"/>
      <c r="E1" s="386"/>
      <c r="F1" s="386"/>
      <c r="G1" s="386"/>
      <c r="H1" s="386"/>
      <c r="I1" s="386"/>
      <c r="J1" s="386"/>
      <c r="K1" s="386"/>
    </row>
    <row r="2" spans="1:11" ht="15" customHeight="1" x14ac:dyDescent="0.35">
      <c r="A2" s="1" t="s">
        <v>793</v>
      </c>
      <c r="B2" s="1"/>
      <c r="C2" s="1"/>
      <c r="D2" s="1"/>
      <c r="E2" s="1"/>
      <c r="F2" s="1"/>
      <c r="G2" s="1"/>
      <c r="H2" s="1"/>
      <c r="I2" s="1"/>
      <c r="J2" s="1"/>
      <c r="K2" s="1"/>
    </row>
    <row r="4" spans="1:11" ht="24" customHeight="1" x14ac:dyDescent="0.35">
      <c r="A4" s="390" t="s">
        <v>794</v>
      </c>
      <c r="B4" s="390"/>
      <c r="C4" s="390"/>
      <c r="D4" s="390"/>
      <c r="E4" s="390"/>
      <c r="F4" s="390"/>
      <c r="G4" s="390"/>
      <c r="H4" s="390"/>
      <c r="I4" s="390"/>
      <c r="J4" s="390"/>
      <c r="K4" s="390"/>
    </row>
    <row r="5" spans="1:11" ht="39.75" customHeight="1" x14ac:dyDescent="0.35">
      <c r="A5" s="94" t="s">
        <v>57</v>
      </c>
      <c r="B5" s="94" t="s">
        <v>751</v>
      </c>
      <c r="C5" s="94" t="s">
        <v>795</v>
      </c>
      <c r="D5" s="94" t="s">
        <v>752</v>
      </c>
      <c r="E5" s="94" t="s">
        <v>753</v>
      </c>
      <c r="F5" s="94" t="s">
        <v>796</v>
      </c>
      <c r="G5" s="94" t="s">
        <v>797</v>
      </c>
      <c r="H5" s="94" t="s">
        <v>798</v>
      </c>
      <c r="I5" s="94" t="s">
        <v>799</v>
      </c>
      <c r="J5" s="94" t="s">
        <v>800</v>
      </c>
      <c r="K5" s="94" t="s">
        <v>801</v>
      </c>
    </row>
    <row r="6" spans="1:11" ht="21.75" customHeight="1" x14ac:dyDescent="0.35">
      <c r="A6" s="95" t="s">
        <v>3</v>
      </c>
      <c r="B6" s="41" t="s">
        <v>802</v>
      </c>
      <c r="C6" s="237" t="s">
        <v>803</v>
      </c>
      <c r="D6" s="197" t="s">
        <v>804</v>
      </c>
      <c r="E6" s="238" t="s">
        <v>805</v>
      </c>
      <c r="F6" s="222">
        <v>25</v>
      </c>
      <c r="G6" s="222">
        <v>22</v>
      </c>
      <c r="H6" s="222">
        <v>19</v>
      </c>
      <c r="I6" s="239">
        <f t="shared" ref="I6:I17" si="0">AVERAGE(F6:H6)</f>
        <v>22</v>
      </c>
      <c r="J6" s="120" t="str">
        <f t="shared" ref="J6:J17" si="1">IF(H6=0,"⚪ No Data",IF(H6&gt;=IFERROR(VALUE(MID(E6,FIND("≥",E6)+1,10)),H6),"🟢 Green",IF(H6&gt;=IFERROR(VALUE(MID(E6,FIND("≥",E6)+1,10)),H6)*0.85,"🟡 Amber","🔴 Red")))</f>
        <v>🟢 Green</v>
      </c>
      <c r="K6" s="240" t="str">
        <f t="shared" ref="K6:K17" si="2">IF(H6&gt;G6,"▲ Improving",IF(H6=G6,"→ Flat","▼ Declining"))</f>
        <v>▼ Declining</v>
      </c>
    </row>
    <row r="7" spans="1:11" ht="21.75" customHeight="1" x14ac:dyDescent="0.35">
      <c r="A7" s="103" t="s">
        <v>9</v>
      </c>
      <c r="B7" s="51" t="s">
        <v>806</v>
      </c>
      <c r="C7" s="241" t="s">
        <v>803</v>
      </c>
      <c r="D7" s="199" t="s">
        <v>807</v>
      </c>
      <c r="E7" s="242" t="s">
        <v>808</v>
      </c>
      <c r="F7" s="222">
        <v>3.8</v>
      </c>
      <c r="G7" s="222">
        <v>3.2</v>
      </c>
      <c r="H7" s="222">
        <v>2.6</v>
      </c>
      <c r="I7" s="243">
        <f t="shared" si="0"/>
        <v>3.1999999999999997</v>
      </c>
      <c r="J7" s="120" t="str">
        <f t="shared" si="1"/>
        <v>🟢 Green</v>
      </c>
      <c r="K7" s="244" t="str">
        <f t="shared" si="2"/>
        <v>▼ Declining</v>
      </c>
    </row>
    <row r="8" spans="1:11" ht="21.75" customHeight="1" x14ac:dyDescent="0.35">
      <c r="A8" s="95" t="s">
        <v>12</v>
      </c>
      <c r="B8" s="41" t="s">
        <v>809</v>
      </c>
      <c r="C8" s="237" t="s">
        <v>810</v>
      </c>
      <c r="D8" s="197" t="s">
        <v>811</v>
      </c>
      <c r="E8" s="238" t="s">
        <v>812</v>
      </c>
      <c r="F8" s="222">
        <v>35</v>
      </c>
      <c r="G8" s="222">
        <v>48</v>
      </c>
      <c r="H8" s="222">
        <v>62</v>
      </c>
      <c r="I8" s="239">
        <f t="shared" si="0"/>
        <v>48.333333333333336</v>
      </c>
      <c r="J8" s="120" t="str">
        <f t="shared" si="1"/>
        <v>🟢 Green</v>
      </c>
      <c r="K8" s="240" t="str">
        <f t="shared" si="2"/>
        <v>▲ Improving</v>
      </c>
    </row>
    <row r="9" spans="1:11" ht="21.75" customHeight="1" x14ac:dyDescent="0.35">
      <c r="A9" s="103" t="s">
        <v>15</v>
      </c>
      <c r="B9" s="51" t="s">
        <v>813</v>
      </c>
      <c r="C9" s="241" t="s">
        <v>814</v>
      </c>
      <c r="D9" s="199" t="s">
        <v>811</v>
      </c>
      <c r="E9" s="242" t="s">
        <v>769</v>
      </c>
      <c r="F9" s="222">
        <v>8</v>
      </c>
      <c r="G9" s="222">
        <v>18</v>
      </c>
      <c r="H9" s="222">
        <v>28</v>
      </c>
      <c r="I9" s="243">
        <f t="shared" si="0"/>
        <v>18</v>
      </c>
      <c r="J9" s="120" t="str">
        <f t="shared" si="1"/>
        <v>🟢 Green</v>
      </c>
      <c r="K9" s="244" t="str">
        <f t="shared" si="2"/>
        <v>▲ Improving</v>
      </c>
    </row>
    <row r="10" spans="1:11" ht="21.75" customHeight="1" x14ac:dyDescent="0.35">
      <c r="A10" s="95" t="s">
        <v>18</v>
      </c>
      <c r="B10" s="41" t="s">
        <v>815</v>
      </c>
      <c r="C10" s="237" t="s">
        <v>810</v>
      </c>
      <c r="D10" s="197" t="s">
        <v>816</v>
      </c>
      <c r="E10" s="238" t="s">
        <v>817</v>
      </c>
      <c r="F10" s="222">
        <v>38</v>
      </c>
      <c r="G10" s="222">
        <v>28</v>
      </c>
      <c r="H10" s="222">
        <v>18</v>
      </c>
      <c r="I10" s="239">
        <f t="shared" si="0"/>
        <v>28</v>
      </c>
      <c r="J10" s="120" t="str">
        <f t="shared" si="1"/>
        <v>🟢 Green</v>
      </c>
      <c r="K10" s="240" t="str">
        <f t="shared" si="2"/>
        <v>▼ Declining</v>
      </c>
    </row>
    <row r="11" spans="1:11" ht="21.75" customHeight="1" x14ac:dyDescent="0.35">
      <c r="A11" s="103" t="s">
        <v>21</v>
      </c>
      <c r="B11" s="51" t="s">
        <v>818</v>
      </c>
      <c r="C11" s="241" t="s">
        <v>819</v>
      </c>
      <c r="D11" s="199" t="s">
        <v>820</v>
      </c>
      <c r="E11" s="242" t="s">
        <v>790</v>
      </c>
      <c r="F11" s="222">
        <v>88</v>
      </c>
      <c r="G11" s="222">
        <v>91</v>
      </c>
      <c r="H11" s="222">
        <v>94</v>
      </c>
      <c r="I11" s="243">
        <f t="shared" si="0"/>
        <v>91</v>
      </c>
      <c r="J11" s="120" t="str">
        <f t="shared" si="1"/>
        <v>🟢 Green</v>
      </c>
      <c r="K11" s="244" t="str">
        <f t="shared" si="2"/>
        <v>▲ Improving</v>
      </c>
    </row>
    <row r="12" spans="1:11" ht="21.75" customHeight="1" x14ac:dyDescent="0.35">
      <c r="A12" s="95" t="s">
        <v>24</v>
      </c>
      <c r="B12" s="41" t="s">
        <v>821</v>
      </c>
      <c r="C12" s="237" t="s">
        <v>822</v>
      </c>
      <c r="D12" s="197" t="s">
        <v>823</v>
      </c>
      <c r="E12" s="238" t="s">
        <v>824</v>
      </c>
      <c r="F12" s="222">
        <v>0</v>
      </c>
      <c r="G12" s="222">
        <v>65</v>
      </c>
      <c r="H12" s="222">
        <v>78</v>
      </c>
      <c r="I12" s="239">
        <f t="shared" si="0"/>
        <v>47.666666666666664</v>
      </c>
      <c r="J12" s="120" t="str">
        <f t="shared" si="1"/>
        <v>🟢 Green</v>
      </c>
      <c r="K12" s="240" t="str">
        <f t="shared" si="2"/>
        <v>▲ Improving</v>
      </c>
    </row>
    <row r="13" spans="1:11" ht="21.75" customHeight="1" x14ac:dyDescent="0.35">
      <c r="A13" s="103" t="s">
        <v>27</v>
      </c>
      <c r="B13" s="51" t="s">
        <v>825</v>
      </c>
      <c r="C13" s="241" t="s">
        <v>826</v>
      </c>
      <c r="D13" s="199" t="s">
        <v>827</v>
      </c>
      <c r="E13" s="242" t="s">
        <v>828</v>
      </c>
      <c r="F13" s="222">
        <v>94</v>
      </c>
      <c r="G13" s="222">
        <v>96</v>
      </c>
      <c r="H13" s="222">
        <v>98</v>
      </c>
      <c r="I13" s="243">
        <f t="shared" si="0"/>
        <v>96</v>
      </c>
      <c r="J13" s="120" t="str">
        <f t="shared" si="1"/>
        <v>🟢 Green</v>
      </c>
      <c r="K13" s="244" t="str">
        <f t="shared" si="2"/>
        <v>▲ Improving</v>
      </c>
    </row>
    <row r="14" spans="1:11" ht="21.75" customHeight="1" x14ac:dyDescent="0.35">
      <c r="A14" s="95" t="s">
        <v>254</v>
      </c>
      <c r="B14" s="41" t="s">
        <v>829</v>
      </c>
      <c r="C14" s="237" t="s">
        <v>814</v>
      </c>
      <c r="D14" s="197" t="s">
        <v>811</v>
      </c>
      <c r="E14" s="238" t="s">
        <v>830</v>
      </c>
      <c r="F14" s="222">
        <v>5</v>
      </c>
      <c r="G14" s="222">
        <v>14</v>
      </c>
      <c r="H14" s="222">
        <v>22</v>
      </c>
      <c r="I14" s="239">
        <f t="shared" si="0"/>
        <v>13.666666666666666</v>
      </c>
      <c r="J14" s="120" t="str">
        <f t="shared" si="1"/>
        <v>🟢 Green</v>
      </c>
      <c r="K14" s="240" t="str">
        <f t="shared" si="2"/>
        <v>▲ Improving</v>
      </c>
    </row>
    <row r="15" spans="1:11" ht="21.75" customHeight="1" x14ac:dyDescent="0.35">
      <c r="A15" s="103" t="s">
        <v>30</v>
      </c>
      <c r="B15" s="51" t="s">
        <v>831</v>
      </c>
      <c r="C15" s="241" t="s">
        <v>832</v>
      </c>
      <c r="D15" s="199" t="s">
        <v>833</v>
      </c>
      <c r="E15" s="242" t="s">
        <v>834</v>
      </c>
      <c r="F15" s="222">
        <v>5</v>
      </c>
      <c r="G15" s="222">
        <v>12</v>
      </c>
      <c r="H15" s="222">
        <v>19</v>
      </c>
      <c r="I15" s="243">
        <f t="shared" si="0"/>
        <v>12</v>
      </c>
      <c r="J15" s="120" t="str">
        <f t="shared" si="1"/>
        <v>🟢 Green</v>
      </c>
      <c r="K15" s="244" t="str">
        <f t="shared" si="2"/>
        <v>▲ Improving</v>
      </c>
    </row>
    <row r="16" spans="1:11" ht="21.75" customHeight="1" x14ac:dyDescent="0.35">
      <c r="A16" s="95" t="s">
        <v>835</v>
      </c>
      <c r="B16" s="41" t="s">
        <v>836</v>
      </c>
      <c r="C16" s="237" t="s">
        <v>803</v>
      </c>
      <c r="D16" s="197" t="s">
        <v>837</v>
      </c>
      <c r="E16" s="238" t="s">
        <v>838</v>
      </c>
      <c r="F16" s="222">
        <v>18</v>
      </c>
      <c r="G16" s="222">
        <v>15</v>
      </c>
      <c r="H16" s="222">
        <v>11</v>
      </c>
      <c r="I16" s="239">
        <f t="shared" si="0"/>
        <v>14.666666666666666</v>
      </c>
      <c r="J16" s="120" t="str">
        <f t="shared" si="1"/>
        <v>🟢 Green</v>
      </c>
      <c r="K16" s="240" t="str">
        <f t="shared" si="2"/>
        <v>▼ Declining</v>
      </c>
    </row>
    <row r="17" spans="1:11" ht="21.75" customHeight="1" x14ac:dyDescent="0.35">
      <c r="A17" s="103" t="s">
        <v>839</v>
      </c>
      <c r="B17" s="51" t="s">
        <v>840</v>
      </c>
      <c r="C17" s="241" t="s">
        <v>841</v>
      </c>
      <c r="D17" s="199" t="s">
        <v>823</v>
      </c>
      <c r="E17" s="242" t="s">
        <v>781</v>
      </c>
      <c r="F17" s="222">
        <v>99.95</v>
      </c>
      <c r="G17" s="222">
        <v>99.92</v>
      </c>
      <c r="H17" s="222">
        <v>99.96</v>
      </c>
      <c r="I17" s="243">
        <f t="shared" si="0"/>
        <v>99.943333333333328</v>
      </c>
      <c r="J17" s="120" t="str">
        <f t="shared" si="1"/>
        <v>🟢 Green</v>
      </c>
      <c r="K17" s="244" t="str">
        <f t="shared" si="2"/>
        <v>▲ Improving</v>
      </c>
    </row>
    <row r="20" spans="1:11" ht="24" customHeight="1" x14ac:dyDescent="0.35">
      <c r="A20" s="447" t="s">
        <v>842</v>
      </c>
      <c r="B20" s="447"/>
      <c r="C20" s="447"/>
      <c r="D20" s="447"/>
      <c r="E20" s="447"/>
      <c r="F20" s="447"/>
      <c r="G20" s="447"/>
      <c r="H20" s="447"/>
      <c r="I20" s="447"/>
      <c r="J20" s="447"/>
      <c r="K20" s="447"/>
    </row>
    <row r="21" spans="1:11" ht="39.75" customHeight="1" x14ac:dyDescent="0.35">
      <c r="A21" s="207" t="s">
        <v>57</v>
      </c>
      <c r="B21" s="207" t="s">
        <v>843</v>
      </c>
      <c r="C21" s="207" t="s">
        <v>844</v>
      </c>
      <c r="D21" s="207" t="s">
        <v>845</v>
      </c>
      <c r="E21" s="207" t="s">
        <v>846</v>
      </c>
      <c r="F21" s="207" t="s">
        <v>847</v>
      </c>
      <c r="G21" s="207" t="s">
        <v>848</v>
      </c>
      <c r="H21" s="207" t="s">
        <v>849</v>
      </c>
      <c r="I21" s="207" t="s">
        <v>850</v>
      </c>
      <c r="J21" s="207" t="s">
        <v>851</v>
      </c>
      <c r="K21" s="207" t="s">
        <v>852</v>
      </c>
    </row>
    <row r="22" spans="1:11" ht="21.75" customHeight="1" x14ac:dyDescent="0.35">
      <c r="A22" s="95" t="s">
        <v>3</v>
      </c>
      <c r="B22" s="245" t="s">
        <v>853</v>
      </c>
      <c r="C22" s="53" t="s">
        <v>854</v>
      </c>
      <c r="D22" s="53">
        <v>0</v>
      </c>
      <c r="E22" s="219">
        <v>175000</v>
      </c>
      <c r="F22" s="246">
        <v>0</v>
      </c>
      <c r="G22" s="246">
        <v>0</v>
      </c>
      <c r="H22" s="246">
        <v>0</v>
      </c>
      <c r="I22" s="101">
        <f t="shared" ref="I22:I29" si="3">SUM(F22:H22)</f>
        <v>0</v>
      </c>
      <c r="J22" s="247">
        <f t="shared" ref="J22:J29" si="4">IF(E22=0,0,I22/E22)</f>
        <v>0</v>
      </c>
      <c r="K22" s="248" t="s">
        <v>855</v>
      </c>
    </row>
    <row r="23" spans="1:11" ht="21.75" customHeight="1" x14ac:dyDescent="0.35">
      <c r="A23" s="103" t="s">
        <v>9</v>
      </c>
      <c r="B23" s="249" t="s">
        <v>856</v>
      </c>
      <c r="C23" s="49" t="s">
        <v>854</v>
      </c>
      <c r="D23" s="49">
        <v>0</v>
      </c>
      <c r="E23" s="219">
        <v>320000</v>
      </c>
      <c r="F23" s="246">
        <v>0</v>
      </c>
      <c r="G23" s="246">
        <v>0</v>
      </c>
      <c r="H23" s="246">
        <v>0</v>
      </c>
      <c r="I23" s="108">
        <f t="shared" si="3"/>
        <v>0</v>
      </c>
      <c r="J23" s="247">
        <f t="shared" si="4"/>
        <v>0</v>
      </c>
      <c r="K23" s="250" t="s">
        <v>855</v>
      </c>
    </row>
    <row r="24" spans="1:11" ht="21.75" customHeight="1" x14ac:dyDescent="0.35">
      <c r="A24" s="95" t="s">
        <v>12</v>
      </c>
      <c r="B24" s="245" t="s">
        <v>857</v>
      </c>
      <c r="C24" s="53" t="s">
        <v>854</v>
      </c>
      <c r="D24" s="53">
        <v>0</v>
      </c>
      <c r="E24" s="219">
        <v>240000</v>
      </c>
      <c r="F24" s="246">
        <v>0</v>
      </c>
      <c r="G24" s="246">
        <v>0</v>
      </c>
      <c r="H24" s="246">
        <v>0</v>
      </c>
      <c r="I24" s="101">
        <f t="shared" si="3"/>
        <v>0</v>
      </c>
      <c r="J24" s="247">
        <f t="shared" si="4"/>
        <v>0</v>
      </c>
      <c r="K24" s="248" t="s">
        <v>855</v>
      </c>
    </row>
    <row r="25" spans="1:11" ht="21.75" customHeight="1" x14ac:dyDescent="0.35">
      <c r="A25" s="103" t="s">
        <v>15</v>
      </c>
      <c r="B25" s="249" t="s">
        <v>858</v>
      </c>
      <c r="C25" s="49" t="s">
        <v>854</v>
      </c>
      <c r="D25" s="49">
        <v>0</v>
      </c>
      <c r="E25" s="219">
        <v>90000</v>
      </c>
      <c r="F25" s="246">
        <v>0</v>
      </c>
      <c r="G25" s="246">
        <v>0</v>
      </c>
      <c r="H25" s="246">
        <v>0</v>
      </c>
      <c r="I25" s="108">
        <f t="shared" si="3"/>
        <v>0</v>
      </c>
      <c r="J25" s="247">
        <f t="shared" si="4"/>
        <v>0</v>
      </c>
      <c r="K25" s="250" t="s">
        <v>855</v>
      </c>
    </row>
    <row r="26" spans="1:11" ht="21.75" customHeight="1" x14ac:dyDescent="0.35">
      <c r="A26" s="95" t="s">
        <v>18</v>
      </c>
      <c r="B26" s="245" t="s">
        <v>859</v>
      </c>
      <c r="C26" s="53" t="s">
        <v>854</v>
      </c>
      <c r="D26" s="53">
        <v>0</v>
      </c>
      <c r="E26" s="219">
        <v>200000</v>
      </c>
      <c r="F26" s="246">
        <v>0</v>
      </c>
      <c r="G26" s="246">
        <v>0</v>
      </c>
      <c r="H26" s="246">
        <v>0</v>
      </c>
      <c r="I26" s="101">
        <f t="shared" si="3"/>
        <v>0</v>
      </c>
      <c r="J26" s="247">
        <f t="shared" si="4"/>
        <v>0</v>
      </c>
      <c r="K26" s="248" t="s">
        <v>855</v>
      </c>
    </row>
    <row r="27" spans="1:11" ht="21.75" customHeight="1" x14ac:dyDescent="0.35">
      <c r="A27" s="59" t="s">
        <v>21</v>
      </c>
      <c r="B27" s="251" t="s">
        <v>860</v>
      </c>
      <c r="C27" s="49" t="s">
        <v>854</v>
      </c>
      <c r="D27" s="49">
        <v>0</v>
      </c>
      <c r="E27" s="219">
        <v>1025000</v>
      </c>
      <c r="F27" s="246">
        <v>0</v>
      </c>
      <c r="G27" s="246">
        <v>0</v>
      </c>
      <c r="H27" s="246">
        <v>0</v>
      </c>
      <c r="I27" s="108">
        <f t="shared" si="3"/>
        <v>0</v>
      </c>
      <c r="J27" s="252">
        <f t="shared" si="4"/>
        <v>0</v>
      </c>
      <c r="K27" s="250" t="s">
        <v>855</v>
      </c>
    </row>
    <row r="28" spans="1:11" ht="21.75" customHeight="1" x14ac:dyDescent="0.35">
      <c r="A28" s="95" t="s">
        <v>24</v>
      </c>
      <c r="B28" s="245" t="s">
        <v>861</v>
      </c>
      <c r="C28" s="53" t="s">
        <v>862</v>
      </c>
      <c r="D28" s="53">
        <v>0</v>
      </c>
      <c r="E28" s="253">
        <v>3</v>
      </c>
      <c r="F28" s="254">
        <v>0</v>
      </c>
      <c r="G28" s="254">
        <v>0</v>
      </c>
      <c r="H28" s="254">
        <v>0</v>
      </c>
      <c r="I28" s="255">
        <f t="shared" si="3"/>
        <v>0</v>
      </c>
      <c r="J28" s="247">
        <f t="shared" si="4"/>
        <v>0</v>
      </c>
      <c r="K28" s="248" t="s">
        <v>855</v>
      </c>
    </row>
    <row r="29" spans="1:11" ht="21.75" customHeight="1" x14ac:dyDescent="0.35">
      <c r="A29" s="103" t="s">
        <v>27</v>
      </c>
      <c r="B29" s="249" t="s">
        <v>863</v>
      </c>
      <c r="C29" s="49" t="s">
        <v>854</v>
      </c>
      <c r="D29" s="49">
        <v>0</v>
      </c>
      <c r="E29" s="219">
        <v>150000</v>
      </c>
      <c r="F29" s="246">
        <v>0</v>
      </c>
      <c r="G29" s="246">
        <v>0</v>
      </c>
      <c r="H29" s="246">
        <v>0</v>
      </c>
      <c r="I29" s="108">
        <f t="shared" si="3"/>
        <v>0</v>
      </c>
      <c r="J29" s="247">
        <f t="shared" si="4"/>
        <v>0</v>
      </c>
      <c r="K29" s="250" t="s">
        <v>855</v>
      </c>
    </row>
    <row r="32" spans="1:11" ht="24" customHeight="1" x14ac:dyDescent="0.35">
      <c r="A32" s="428" t="s">
        <v>864</v>
      </c>
      <c r="B32" s="428"/>
      <c r="C32" s="428"/>
      <c r="D32" s="428"/>
      <c r="E32" s="428"/>
      <c r="F32" s="428"/>
      <c r="G32" s="428"/>
      <c r="H32" s="428"/>
      <c r="I32" s="428"/>
      <c r="J32" s="428"/>
      <c r="K32" s="428"/>
    </row>
    <row r="33" spans="1:11" ht="36" customHeight="1" x14ac:dyDescent="0.35">
      <c r="A33" s="256" t="s">
        <v>57</v>
      </c>
      <c r="B33" s="256" t="s">
        <v>865</v>
      </c>
      <c r="C33" s="256" t="s">
        <v>866</v>
      </c>
      <c r="D33" s="256" t="s">
        <v>867</v>
      </c>
      <c r="E33" s="256" t="s">
        <v>868</v>
      </c>
      <c r="F33" s="256" t="s">
        <v>869</v>
      </c>
      <c r="G33" s="256" t="s">
        <v>870</v>
      </c>
      <c r="H33" s="256" t="s">
        <v>871</v>
      </c>
      <c r="I33" s="256" t="s">
        <v>191</v>
      </c>
      <c r="J33" s="256" t="s">
        <v>872</v>
      </c>
      <c r="K33" s="256" t="s">
        <v>498</v>
      </c>
    </row>
    <row r="34" spans="1:11" ht="36" customHeight="1" x14ac:dyDescent="0.35">
      <c r="A34" s="257" t="s">
        <v>3</v>
      </c>
      <c r="B34" s="41" t="s">
        <v>873</v>
      </c>
      <c r="C34" s="96" t="s">
        <v>874</v>
      </c>
      <c r="D34" s="53" t="s">
        <v>875</v>
      </c>
      <c r="E34" s="96" t="s">
        <v>876</v>
      </c>
      <c r="F34" s="225" t="s">
        <v>877</v>
      </c>
      <c r="G34" s="96" t="s">
        <v>878</v>
      </c>
      <c r="H34" s="116" t="s">
        <v>879</v>
      </c>
      <c r="I34" s="116" t="s">
        <v>880</v>
      </c>
      <c r="J34" s="116">
        <v>0</v>
      </c>
      <c r="K34" s="245"/>
    </row>
    <row r="35" spans="1:11" ht="36" customHeight="1" x14ac:dyDescent="0.35">
      <c r="A35" s="258" t="s">
        <v>9</v>
      </c>
      <c r="B35" s="51" t="s">
        <v>881</v>
      </c>
      <c r="C35" s="104" t="s">
        <v>882</v>
      </c>
      <c r="D35" s="49" t="s">
        <v>883</v>
      </c>
      <c r="E35" s="104" t="s">
        <v>884</v>
      </c>
      <c r="F35" s="230" t="s">
        <v>885</v>
      </c>
      <c r="G35" s="104" t="s">
        <v>886</v>
      </c>
      <c r="H35" s="116" t="s">
        <v>879</v>
      </c>
      <c r="I35" s="116" t="s">
        <v>880</v>
      </c>
      <c r="J35" s="116">
        <v>0</v>
      </c>
      <c r="K35" s="249"/>
    </row>
    <row r="36" spans="1:11" ht="36" customHeight="1" x14ac:dyDescent="0.35">
      <c r="A36" s="257" t="s">
        <v>12</v>
      </c>
      <c r="B36" s="41" t="s">
        <v>887</v>
      </c>
      <c r="C36" s="96" t="s">
        <v>888</v>
      </c>
      <c r="D36" s="53" t="s">
        <v>889</v>
      </c>
      <c r="E36" s="96" t="s">
        <v>890</v>
      </c>
      <c r="F36" s="225" t="s">
        <v>891</v>
      </c>
      <c r="G36" s="96" t="s">
        <v>892</v>
      </c>
      <c r="H36" s="116" t="s">
        <v>879</v>
      </c>
      <c r="I36" s="116" t="s">
        <v>880</v>
      </c>
      <c r="J36" s="116">
        <v>0</v>
      </c>
      <c r="K36" s="245"/>
    </row>
    <row r="37" spans="1:11" ht="36" customHeight="1" x14ac:dyDescent="0.35">
      <c r="A37" s="258" t="s">
        <v>15</v>
      </c>
      <c r="B37" s="51" t="s">
        <v>893</v>
      </c>
      <c r="C37" s="104" t="s">
        <v>894</v>
      </c>
      <c r="D37" s="49" t="s">
        <v>765</v>
      </c>
      <c r="E37" s="104" t="s">
        <v>895</v>
      </c>
      <c r="F37" s="230" t="s">
        <v>896</v>
      </c>
      <c r="G37" s="104" t="s">
        <v>897</v>
      </c>
      <c r="H37" s="116" t="s">
        <v>879</v>
      </c>
      <c r="I37" s="116" t="s">
        <v>880</v>
      </c>
      <c r="J37" s="116">
        <v>0</v>
      </c>
      <c r="K37" s="249"/>
    </row>
    <row r="38" spans="1:11" ht="36" customHeight="1" x14ac:dyDescent="0.35">
      <c r="A38" s="257" t="s">
        <v>18</v>
      </c>
      <c r="B38" s="41" t="s">
        <v>898</v>
      </c>
      <c r="C38" s="96" t="s">
        <v>899</v>
      </c>
      <c r="D38" s="53" t="s">
        <v>787</v>
      </c>
      <c r="E38" s="96" t="s">
        <v>900</v>
      </c>
      <c r="F38" s="225" t="s">
        <v>901</v>
      </c>
      <c r="G38" s="96" t="s">
        <v>902</v>
      </c>
      <c r="H38" s="116" t="s">
        <v>879</v>
      </c>
      <c r="I38" s="116" t="s">
        <v>880</v>
      </c>
      <c r="J38" s="116">
        <v>0</v>
      </c>
      <c r="K38" s="245"/>
    </row>
    <row r="39" spans="1:11" ht="36" customHeight="1" x14ac:dyDescent="0.35">
      <c r="A39" s="258" t="s">
        <v>21</v>
      </c>
      <c r="B39" s="51" t="s">
        <v>903</v>
      </c>
      <c r="C39" s="104" t="s">
        <v>904</v>
      </c>
      <c r="D39" s="49" t="s">
        <v>905</v>
      </c>
      <c r="E39" s="104" t="s">
        <v>906</v>
      </c>
      <c r="F39" s="230" t="s">
        <v>907</v>
      </c>
      <c r="G39" s="104" t="s">
        <v>908</v>
      </c>
      <c r="H39" s="116" t="s">
        <v>879</v>
      </c>
      <c r="I39" s="116" t="s">
        <v>880</v>
      </c>
      <c r="J39" s="116">
        <v>0</v>
      </c>
      <c r="K39" s="249"/>
    </row>
    <row r="42" spans="1:11" ht="24" customHeight="1" x14ac:dyDescent="0.35">
      <c r="A42" s="404" t="s">
        <v>909</v>
      </c>
      <c r="B42" s="404"/>
      <c r="C42" s="404"/>
      <c r="D42" s="404"/>
      <c r="E42" s="404"/>
      <c r="F42" s="404"/>
      <c r="G42" s="404"/>
      <c r="H42" s="404"/>
      <c r="I42" s="404"/>
      <c r="J42" s="404"/>
      <c r="K42" s="404"/>
    </row>
    <row r="43" spans="1:11" ht="39.75" customHeight="1" x14ac:dyDescent="0.35">
      <c r="A43" s="142" t="s">
        <v>57</v>
      </c>
      <c r="B43" s="142" t="s">
        <v>910</v>
      </c>
      <c r="C43" s="142" t="s">
        <v>885</v>
      </c>
      <c r="D43" s="142" t="s">
        <v>596</v>
      </c>
      <c r="E43" s="142" t="s">
        <v>588</v>
      </c>
      <c r="F43" s="142" t="s">
        <v>911</v>
      </c>
      <c r="G43" s="142" t="s">
        <v>912</v>
      </c>
      <c r="H43" s="142" t="s">
        <v>913</v>
      </c>
      <c r="I43" s="142" t="s">
        <v>914</v>
      </c>
      <c r="J43" s="142" t="s">
        <v>915</v>
      </c>
      <c r="K43" s="142" t="s">
        <v>498</v>
      </c>
    </row>
    <row r="44" spans="1:11" ht="21.75" customHeight="1" x14ac:dyDescent="0.35">
      <c r="A44" s="143" t="s">
        <v>3</v>
      </c>
      <c r="B44" s="41" t="s">
        <v>916</v>
      </c>
      <c r="C44" s="259" t="s">
        <v>917</v>
      </c>
      <c r="D44" s="260" t="s">
        <v>918</v>
      </c>
      <c r="E44" s="261" t="s">
        <v>919</v>
      </c>
      <c r="F44" s="262" t="s">
        <v>920</v>
      </c>
      <c r="G44" s="261" t="s">
        <v>919</v>
      </c>
      <c r="H44" s="262" t="s">
        <v>920</v>
      </c>
      <c r="I44" s="262" t="s">
        <v>920</v>
      </c>
      <c r="J44" s="262" t="s">
        <v>920</v>
      </c>
      <c r="K44" s="245"/>
    </row>
    <row r="45" spans="1:11" ht="21.75" customHeight="1" x14ac:dyDescent="0.35">
      <c r="A45" s="144" t="s">
        <v>9</v>
      </c>
      <c r="B45" s="51" t="s">
        <v>921</v>
      </c>
      <c r="C45" s="261" t="s">
        <v>919</v>
      </c>
      <c r="D45" s="262" t="s">
        <v>920</v>
      </c>
      <c r="E45" s="259" t="s">
        <v>917</v>
      </c>
      <c r="F45" s="262" t="s">
        <v>920</v>
      </c>
      <c r="G45" s="261" t="s">
        <v>919</v>
      </c>
      <c r="H45" s="262" t="s">
        <v>920</v>
      </c>
      <c r="I45" s="262" t="s">
        <v>920</v>
      </c>
      <c r="J45" s="262" t="s">
        <v>920</v>
      </c>
      <c r="K45" s="249"/>
    </row>
    <row r="46" spans="1:11" ht="21.75" customHeight="1" x14ac:dyDescent="0.35">
      <c r="A46" s="143" t="s">
        <v>12</v>
      </c>
      <c r="B46" s="41" t="s">
        <v>922</v>
      </c>
      <c r="C46" s="260" t="s">
        <v>918</v>
      </c>
      <c r="D46" s="259" t="s">
        <v>917</v>
      </c>
      <c r="E46" s="261" t="s">
        <v>919</v>
      </c>
      <c r="F46" s="259" t="s">
        <v>917</v>
      </c>
      <c r="G46" s="259" t="s">
        <v>917</v>
      </c>
      <c r="H46" s="262" t="s">
        <v>920</v>
      </c>
      <c r="I46" s="261" t="s">
        <v>919</v>
      </c>
      <c r="J46" s="262" t="s">
        <v>920</v>
      </c>
      <c r="K46" s="245"/>
    </row>
    <row r="47" spans="1:11" ht="21.75" customHeight="1" x14ac:dyDescent="0.35">
      <c r="A47" s="144" t="s">
        <v>15</v>
      </c>
      <c r="B47" s="51" t="s">
        <v>923</v>
      </c>
      <c r="C47" s="260" t="s">
        <v>918</v>
      </c>
      <c r="D47" s="262" t="s">
        <v>920</v>
      </c>
      <c r="E47" s="261" t="s">
        <v>919</v>
      </c>
      <c r="F47" s="259" t="s">
        <v>917</v>
      </c>
      <c r="G47" s="259" t="s">
        <v>917</v>
      </c>
      <c r="H47" s="262" t="s">
        <v>920</v>
      </c>
      <c r="I47" s="262" t="s">
        <v>920</v>
      </c>
      <c r="J47" s="262" t="s">
        <v>920</v>
      </c>
      <c r="K47" s="249"/>
    </row>
    <row r="48" spans="1:11" ht="21.75" customHeight="1" x14ac:dyDescent="0.35">
      <c r="A48" s="143" t="s">
        <v>18</v>
      </c>
      <c r="B48" s="41" t="s">
        <v>924</v>
      </c>
      <c r="C48" s="259" t="s">
        <v>917</v>
      </c>
      <c r="D48" s="260" t="s">
        <v>918</v>
      </c>
      <c r="E48" s="261" t="s">
        <v>919</v>
      </c>
      <c r="F48" s="261" t="s">
        <v>919</v>
      </c>
      <c r="G48" s="262" t="s">
        <v>920</v>
      </c>
      <c r="H48" s="262" t="s">
        <v>920</v>
      </c>
      <c r="I48" s="262" t="s">
        <v>920</v>
      </c>
      <c r="J48" s="262" t="s">
        <v>920</v>
      </c>
      <c r="K48" s="245"/>
    </row>
    <row r="49" spans="1:11" ht="21.75" customHeight="1" x14ac:dyDescent="0.35">
      <c r="A49" s="144" t="s">
        <v>21</v>
      </c>
      <c r="B49" s="51" t="s">
        <v>925</v>
      </c>
      <c r="C49" s="259" t="s">
        <v>917</v>
      </c>
      <c r="D49" s="261" t="s">
        <v>919</v>
      </c>
      <c r="E49" s="260" t="s">
        <v>918</v>
      </c>
      <c r="F49" s="262" t="s">
        <v>920</v>
      </c>
      <c r="G49" s="261" t="s">
        <v>919</v>
      </c>
      <c r="H49" s="262" t="s">
        <v>920</v>
      </c>
      <c r="I49" s="262" t="s">
        <v>920</v>
      </c>
      <c r="J49" s="262" t="s">
        <v>920</v>
      </c>
      <c r="K49" s="249"/>
    </row>
    <row r="50" spans="1:11" ht="21.75" customHeight="1" x14ac:dyDescent="0.35">
      <c r="A50" s="143" t="s">
        <v>24</v>
      </c>
      <c r="B50" s="41" t="s">
        <v>926</v>
      </c>
      <c r="C50" s="260" t="s">
        <v>918</v>
      </c>
      <c r="D50" s="262" t="s">
        <v>920</v>
      </c>
      <c r="E50" s="262" t="s">
        <v>920</v>
      </c>
      <c r="F50" s="262" t="s">
        <v>920</v>
      </c>
      <c r="G50" s="261" t="s">
        <v>919</v>
      </c>
      <c r="H50" s="259" t="s">
        <v>917</v>
      </c>
      <c r="I50" s="261" t="s">
        <v>919</v>
      </c>
      <c r="J50" s="262" t="s">
        <v>920</v>
      </c>
      <c r="K50" s="245"/>
    </row>
    <row r="51" spans="1:11" ht="21.75" customHeight="1" x14ac:dyDescent="0.35">
      <c r="A51" s="144" t="s">
        <v>27</v>
      </c>
      <c r="B51" s="51" t="s">
        <v>927</v>
      </c>
      <c r="C51" s="261" t="s">
        <v>919</v>
      </c>
      <c r="D51" s="262" t="s">
        <v>920</v>
      </c>
      <c r="E51" s="262" t="s">
        <v>920</v>
      </c>
      <c r="F51" s="262" t="s">
        <v>920</v>
      </c>
      <c r="G51" s="261" t="s">
        <v>919</v>
      </c>
      <c r="H51" s="259" t="s">
        <v>917</v>
      </c>
      <c r="I51" s="262" t="s">
        <v>920</v>
      </c>
      <c r="J51" s="260" t="s">
        <v>918</v>
      </c>
      <c r="K51" s="249"/>
    </row>
    <row r="52" spans="1:11" ht="21.75" customHeight="1" x14ac:dyDescent="0.35">
      <c r="A52" s="143" t="s">
        <v>254</v>
      </c>
      <c r="B52" s="41" t="s">
        <v>928</v>
      </c>
      <c r="C52" s="261" t="s">
        <v>919</v>
      </c>
      <c r="D52" s="262" t="s">
        <v>920</v>
      </c>
      <c r="E52" s="262" t="s">
        <v>920</v>
      </c>
      <c r="F52" s="261" t="s">
        <v>919</v>
      </c>
      <c r="G52" s="259" t="s">
        <v>917</v>
      </c>
      <c r="H52" s="260" t="s">
        <v>918</v>
      </c>
      <c r="I52" s="262" t="s">
        <v>920</v>
      </c>
      <c r="J52" s="262" t="s">
        <v>920</v>
      </c>
      <c r="K52" s="245"/>
    </row>
    <row r="53" spans="1:11" ht="21.75" customHeight="1" x14ac:dyDescent="0.35">
      <c r="A53" s="144" t="s">
        <v>30</v>
      </c>
      <c r="B53" s="51" t="s">
        <v>929</v>
      </c>
      <c r="C53" s="259" t="s">
        <v>917</v>
      </c>
      <c r="D53" s="262" t="s">
        <v>920</v>
      </c>
      <c r="E53" s="262" t="s">
        <v>920</v>
      </c>
      <c r="F53" s="260" t="s">
        <v>918</v>
      </c>
      <c r="G53" s="261" t="s">
        <v>919</v>
      </c>
      <c r="H53" s="261" t="s">
        <v>919</v>
      </c>
      <c r="I53" s="259" t="s">
        <v>917</v>
      </c>
      <c r="J53" s="262" t="s">
        <v>920</v>
      </c>
      <c r="K53" s="249"/>
    </row>
    <row r="55" spans="1:11" ht="15" customHeight="1" x14ac:dyDescent="0.35">
      <c r="A55" s="448" t="s">
        <v>930</v>
      </c>
      <c r="B55" s="448"/>
      <c r="C55" s="263" t="s">
        <v>931</v>
      </c>
      <c r="D55" s="263" t="s">
        <v>932</v>
      </c>
      <c r="E55" s="263" t="s">
        <v>933</v>
      </c>
      <c r="F55" s="263" t="s">
        <v>934</v>
      </c>
    </row>
  </sheetData>
  <mergeCells count="7">
    <mergeCell ref="A42:K42"/>
    <mergeCell ref="A55:B55"/>
    <mergeCell ref="A1:K1"/>
    <mergeCell ref="A2:K2"/>
    <mergeCell ref="A4:K4"/>
    <mergeCell ref="A20:K20"/>
    <mergeCell ref="A32:K3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75623"/>
  </sheetPr>
  <dimension ref="A1:L44"/>
  <sheetViews>
    <sheetView showGridLines="0" zoomScaleNormal="100" workbookViewId="0">
      <selection sqref="A1:L1"/>
    </sheetView>
  </sheetViews>
  <sheetFormatPr defaultColWidth="8.6328125" defaultRowHeight="14.5" x14ac:dyDescent="0.35"/>
  <cols>
    <col min="1" max="1" width="4" customWidth="1"/>
    <col min="2" max="2" width="28" customWidth="1"/>
    <col min="3" max="3" width="16" customWidth="1"/>
    <col min="4" max="12" width="14" customWidth="1"/>
  </cols>
  <sheetData>
    <row r="1" spans="1:12" ht="36" customHeight="1" x14ac:dyDescent="0.35">
      <c r="A1" s="386" t="s">
        <v>935</v>
      </c>
      <c r="B1" s="386"/>
      <c r="C1" s="386"/>
      <c r="D1" s="386"/>
      <c r="E1" s="386"/>
      <c r="F1" s="386"/>
      <c r="G1" s="386"/>
      <c r="H1" s="386"/>
      <c r="I1" s="386"/>
      <c r="J1" s="386"/>
      <c r="K1" s="386"/>
      <c r="L1" s="386"/>
    </row>
    <row r="2" spans="1:12" ht="19.5" customHeight="1" x14ac:dyDescent="0.35">
      <c r="A2" s="1" t="s">
        <v>936</v>
      </c>
      <c r="B2" s="1"/>
      <c r="C2" s="1"/>
      <c r="D2" s="1"/>
      <c r="E2" s="1"/>
      <c r="F2" s="1"/>
      <c r="G2" s="1"/>
      <c r="H2" s="1"/>
      <c r="I2" s="1"/>
      <c r="J2" s="1"/>
      <c r="K2" s="1"/>
      <c r="L2" s="1"/>
    </row>
    <row r="4" spans="1:12" ht="24" customHeight="1" x14ac:dyDescent="0.35">
      <c r="A4" s="390" t="s">
        <v>937</v>
      </c>
      <c r="B4" s="390"/>
      <c r="C4" s="390"/>
      <c r="D4" s="390"/>
      <c r="E4" s="390"/>
      <c r="F4" s="390"/>
      <c r="G4" s="390"/>
      <c r="H4" s="390"/>
      <c r="I4" s="390"/>
      <c r="J4" s="390"/>
      <c r="K4" s="390"/>
      <c r="L4" s="390"/>
    </row>
    <row r="5" spans="1:12" ht="21.75" customHeight="1" x14ac:dyDescent="0.35">
      <c r="A5" s="264" t="s">
        <v>938</v>
      </c>
      <c r="B5" s="264" t="s">
        <v>698</v>
      </c>
      <c r="C5" s="265" t="s">
        <v>844</v>
      </c>
      <c r="D5" s="265" t="s">
        <v>939</v>
      </c>
      <c r="E5" s="449" t="s">
        <v>498</v>
      </c>
      <c r="F5" s="449"/>
      <c r="G5" s="449"/>
      <c r="H5" s="449"/>
      <c r="I5" s="449"/>
      <c r="J5" s="449"/>
      <c r="K5" s="449"/>
      <c r="L5" s="449"/>
    </row>
    <row r="6" spans="1:12" ht="19.5" customHeight="1" x14ac:dyDescent="0.35">
      <c r="A6" s="450" t="s">
        <v>940</v>
      </c>
      <c r="B6" s="450"/>
      <c r="C6" s="450"/>
      <c r="D6" s="450"/>
      <c r="E6" s="450"/>
      <c r="F6" s="450"/>
      <c r="G6" s="450"/>
      <c r="H6" s="450"/>
      <c r="I6" s="450"/>
      <c r="J6" s="450"/>
      <c r="K6" s="450"/>
      <c r="L6" s="450"/>
    </row>
    <row r="7" spans="1:12" ht="19.5" customHeight="1" x14ac:dyDescent="0.35">
      <c r="A7" s="51" t="s">
        <v>941</v>
      </c>
      <c r="B7" s="249"/>
      <c r="C7" s="49" t="s">
        <v>854</v>
      </c>
      <c r="D7" s="266">
        <v>780000</v>
      </c>
      <c r="E7" s="451" t="s">
        <v>942</v>
      </c>
      <c r="F7" s="451"/>
      <c r="G7" s="451"/>
      <c r="H7" s="451"/>
      <c r="I7" s="451"/>
      <c r="J7" s="451"/>
      <c r="K7" s="451"/>
      <c r="L7" s="451"/>
    </row>
    <row r="8" spans="1:12" ht="19.5" customHeight="1" x14ac:dyDescent="0.35">
      <c r="A8" s="41" t="s">
        <v>943</v>
      </c>
      <c r="B8" s="245"/>
      <c r="C8" s="53" t="s">
        <v>854</v>
      </c>
      <c r="D8" s="266">
        <v>120000</v>
      </c>
      <c r="E8" s="452" t="s">
        <v>944</v>
      </c>
      <c r="F8" s="452"/>
      <c r="G8" s="452"/>
      <c r="H8" s="452"/>
      <c r="I8" s="452"/>
      <c r="J8" s="452"/>
      <c r="K8" s="452"/>
      <c r="L8" s="452"/>
    </row>
    <row r="9" spans="1:12" ht="19.5" customHeight="1" x14ac:dyDescent="0.35">
      <c r="A9" s="51" t="s">
        <v>945</v>
      </c>
      <c r="B9" s="249"/>
      <c r="C9" s="49" t="s">
        <v>854</v>
      </c>
      <c r="D9" s="266">
        <v>2000000</v>
      </c>
      <c r="E9" s="451" t="s">
        <v>946</v>
      </c>
      <c r="F9" s="451"/>
      <c r="G9" s="451"/>
      <c r="H9" s="451"/>
      <c r="I9" s="451"/>
      <c r="J9" s="451"/>
      <c r="K9" s="451"/>
      <c r="L9" s="451"/>
    </row>
    <row r="10" spans="1:12" ht="19.5" customHeight="1" x14ac:dyDescent="0.35">
      <c r="A10" s="41" t="s">
        <v>947</v>
      </c>
      <c r="B10" s="245"/>
      <c r="C10" s="53" t="s">
        <v>854</v>
      </c>
      <c r="D10" s="266">
        <v>50000</v>
      </c>
      <c r="E10" s="452" t="s">
        <v>948</v>
      </c>
      <c r="F10" s="452"/>
      <c r="G10" s="452"/>
      <c r="H10" s="452"/>
      <c r="I10" s="452"/>
      <c r="J10" s="452"/>
      <c r="K10" s="452"/>
      <c r="L10" s="452"/>
    </row>
    <row r="11" spans="1:12" ht="19.5" customHeight="1" x14ac:dyDescent="0.35"/>
    <row r="12" spans="1:12" ht="19.5" customHeight="1" x14ac:dyDescent="0.35">
      <c r="A12" s="450" t="s">
        <v>949</v>
      </c>
      <c r="B12" s="450"/>
      <c r="C12" s="450"/>
      <c r="D12" s="450"/>
      <c r="E12" s="450"/>
      <c r="F12" s="450"/>
      <c r="G12" s="450"/>
      <c r="H12" s="450"/>
      <c r="I12" s="450"/>
      <c r="J12" s="450"/>
      <c r="K12" s="450"/>
      <c r="L12" s="450"/>
    </row>
    <row r="13" spans="1:12" ht="19.5" customHeight="1" x14ac:dyDescent="0.35">
      <c r="A13" s="51" t="s">
        <v>950</v>
      </c>
      <c r="B13" s="249"/>
      <c r="C13" s="49" t="s">
        <v>854</v>
      </c>
      <c r="D13" s="266">
        <v>180</v>
      </c>
      <c r="E13" s="451" t="s">
        <v>951</v>
      </c>
      <c r="F13" s="451"/>
      <c r="G13" s="451"/>
      <c r="H13" s="451"/>
      <c r="I13" s="451"/>
      <c r="J13" s="451"/>
      <c r="K13" s="451"/>
      <c r="L13" s="451"/>
    </row>
    <row r="14" spans="1:12" ht="19.5" customHeight="1" x14ac:dyDescent="0.35">
      <c r="A14" s="41" t="s">
        <v>952</v>
      </c>
      <c r="B14" s="245"/>
      <c r="C14" s="53" t="s">
        <v>953</v>
      </c>
      <c r="D14" s="269">
        <v>5000</v>
      </c>
      <c r="E14" s="452" t="s">
        <v>954</v>
      </c>
      <c r="F14" s="452"/>
      <c r="G14" s="452"/>
      <c r="H14" s="452"/>
      <c r="I14" s="452"/>
      <c r="J14" s="452"/>
      <c r="K14" s="452"/>
      <c r="L14" s="452"/>
    </row>
    <row r="15" spans="1:12" ht="19.5" customHeight="1" x14ac:dyDescent="0.35">
      <c r="A15" s="51" t="s">
        <v>955</v>
      </c>
      <c r="B15" s="249"/>
      <c r="C15" s="49" t="s">
        <v>854</v>
      </c>
      <c r="D15" s="266">
        <v>28</v>
      </c>
      <c r="E15" s="451" t="s">
        <v>956</v>
      </c>
      <c r="F15" s="451"/>
      <c r="G15" s="451"/>
      <c r="H15" s="451"/>
      <c r="I15" s="451"/>
      <c r="J15" s="451"/>
      <c r="K15" s="451"/>
      <c r="L15" s="451"/>
    </row>
    <row r="16" spans="1:12" ht="19.5" customHeight="1" x14ac:dyDescent="0.35">
      <c r="A16" s="41" t="s">
        <v>957</v>
      </c>
      <c r="B16" s="245"/>
      <c r="C16" s="53" t="s">
        <v>958</v>
      </c>
      <c r="D16" s="269">
        <v>4.5</v>
      </c>
      <c r="E16" s="452" t="s">
        <v>959</v>
      </c>
      <c r="F16" s="452"/>
      <c r="G16" s="452"/>
      <c r="H16" s="452"/>
      <c r="I16" s="452"/>
      <c r="J16" s="452"/>
      <c r="K16" s="452"/>
      <c r="L16" s="452"/>
    </row>
    <row r="17" spans="1:12" ht="19.5" customHeight="1" x14ac:dyDescent="0.35">
      <c r="A17" s="51" t="s">
        <v>960</v>
      </c>
      <c r="B17" s="249"/>
      <c r="C17" s="49" t="s">
        <v>953</v>
      </c>
      <c r="D17" s="269">
        <v>22</v>
      </c>
      <c r="E17" s="451" t="s">
        <v>961</v>
      </c>
      <c r="F17" s="451"/>
      <c r="G17" s="451"/>
      <c r="H17" s="451"/>
      <c r="I17" s="451"/>
      <c r="J17" s="451"/>
      <c r="K17" s="451"/>
      <c r="L17" s="451"/>
    </row>
    <row r="18" spans="1:12" ht="19.5" customHeight="1" x14ac:dyDescent="0.35">
      <c r="A18" s="41" t="s">
        <v>962</v>
      </c>
      <c r="B18" s="245"/>
      <c r="C18" s="53" t="s">
        <v>854</v>
      </c>
      <c r="D18" s="266">
        <v>45000</v>
      </c>
      <c r="E18" s="452" t="s">
        <v>963</v>
      </c>
      <c r="F18" s="452"/>
      <c r="G18" s="452"/>
      <c r="H18" s="452"/>
      <c r="I18" s="452"/>
      <c r="J18" s="452"/>
      <c r="K18" s="452"/>
      <c r="L18" s="452"/>
    </row>
    <row r="19" spans="1:12" ht="19.5" customHeight="1" x14ac:dyDescent="0.35">
      <c r="A19" s="51" t="s">
        <v>964</v>
      </c>
      <c r="B19" s="249"/>
      <c r="C19" s="49" t="s">
        <v>854</v>
      </c>
      <c r="D19" s="266">
        <v>3500000</v>
      </c>
      <c r="E19" s="451" t="s">
        <v>965</v>
      </c>
      <c r="F19" s="451"/>
      <c r="G19" s="451"/>
      <c r="H19" s="451"/>
      <c r="I19" s="451"/>
      <c r="J19" s="451"/>
      <c r="K19" s="451"/>
      <c r="L19" s="451"/>
    </row>
    <row r="20" spans="1:12" ht="19.5" customHeight="1" x14ac:dyDescent="0.35">
      <c r="A20" s="41" t="s">
        <v>966</v>
      </c>
      <c r="B20" s="245"/>
      <c r="C20" s="53" t="s">
        <v>967</v>
      </c>
      <c r="D20" s="270">
        <v>0.1</v>
      </c>
      <c r="E20" s="452" t="s">
        <v>968</v>
      </c>
      <c r="F20" s="452"/>
      <c r="G20" s="452"/>
      <c r="H20" s="452"/>
      <c r="I20" s="452"/>
      <c r="J20" s="452"/>
      <c r="K20" s="452"/>
      <c r="L20" s="452"/>
    </row>
    <row r="22" spans="1:12" ht="24" customHeight="1" x14ac:dyDescent="0.35">
      <c r="A22" s="390" t="s">
        <v>969</v>
      </c>
      <c r="B22" s="390"/>
      <c r="C22" s="390"/>
      <c r="D22" s="390"/>
      <c r="E22" s="390"/>
      <c r="F22" s="390"/>
      <c r="G22" s="390"/>
      <c r="H22" s="390"/>
      <c r="I22" s="390"/>
      <c r="J22" s="390"/>
      <c r="K22" s="390"/>
      <c r="L22" s="390"/>
    </row>
    <row r="23" spans="1:12" ht="36" customHeight="1" x14ac:dyDescent="0.35">
      <c r="A23" s="145" t="s">
        <v>57</v>
      </c>
      <c r="B23" s="145" t="s">
        <v>970</v>
      </c>
      <c r="C23" s="145" t="s">
        <v>795</v>
      </c>
      <c r="D23" s="145" t="s">
        <v>971</v>
      </c>
      <c r="E23" s="145" t="s">
        <v>972</v>
      </c>
      <c r="F23" s="145" t="s">
        <v>973</v>
      </c>
      <c r="G23" s="145" t="s">
        <v>974</v>
      </c>
      <c r="H23" s="145" t="s">
        <v>975</v>
      </c>
      <c r="I23" s="414" t="s">
        <v>498</v>
      </c>
      <c r="J23" s="414"/>
      <c r="K23" s="414"/>
      <c r="L23" s="414"/>
    </row>
    <row r="24" spans="1:12" ht="18" customHeight="1" x14ac:dyDescent="0.35">
      <c r="A24" s="453" t="s">
        <v>976</v>
      </c>
      <c r="B24" s="453"/>
      <c r="C24" s="453"/>
      <c r="D24" s="453"/>
      <c r="E24" s="453"/>
      <c r="F24" s="453"/>
      <c r="G24" s="453"/>
      <c r="H24" s="453"/>
      <c r="I24" s="453"/>
      <c r="J24" s="453"/>
      <c r="K24" s="453"/>
      <c r="L24" s="453"/>
    </row>
    <row r="25" spans="1:12" ht="21.75" customHeight="1" x14ac:dyDescent="0.35">
      <c r="A25" s="49" t="s">
        <v>977</v>
      </c>
      <c r="B25" s="249" t="s">
        <v>978</v>
      </c>
      <c r="C25" s="267" t="s">
        <v>979</v>
      </c>
      <c r="D25" s="271">
        <f>D7</f>
        <v>780000</v>
      </c>
      <c r="E25" s="271">
        <f>D10</f>
        <v>50000</v>
      </c>
      <c r="F25" s="271">
        <v>0</v>
      </c>
      <c r="G25" s="271">
        <v>0</v>
      </c>
      <c r="H25" s="272">
        <f>SUM(E25:G25)</f>
        <v>50000</v>
      </c>
      <c r="I25" s="433" t="s">
        <v>980</v>
      </c>
      <c r="J25" s="433"/>
      <c r="K25" s="433"/>
      <c r="L25" s="433"/>
    </row>
    <row r="26" spans="1:12" ht="21.75" customHeight="1" x14ac:dyDescent="0.35">
      <c r="A26" s="53" t="s">
        <v>981</v>
      </c>
      <c r="B26" s="245" t="s">
        <v>982</v>
      </c>
      <c r="C26" s="268" t="s">
        <v>983</v>
      </c>
      <c r="D26" s="273">
        <v>0</v>
      </c>
      <c r="E26" s="273">
        <f>D8</f>
        <v>120000</v>
      </c>
      <c r="F26" s="273">
        <f>D8</f>
        <v>120000</v>
      </c>
      <c r="G26" s="273">
        <f>D8</f>
        <v>120000</v>
      </c>
      <c r="H26" s="274">
        <f>SUM(E26:G26)</f>
        <v>360000</v>
      </c>
      <c r="I26" s="432" t="s">
        <v>984</v>
      </c>
      <c r="J26" s="432"/>
      <c r="K26" s="432"/>
      <c r="L26" s="432"/>
    </row>
    <row r="27" spans="1:12" ht="21.75" customHeight="1" x14ac:dyDescent="0.35">
      <c r="A27" s="49" t="s">
        <v>985</v>
      </c>
      <c r="B27" s="249" t="s">
        <v>986</v>
      </c>
      <c r="C27" s="267" t="s">
        <v>983</v>
      </c>
      <c r="D27" s="271">
        <f>D9</f>
        <v>2000000</v>
      </c>
      <c r="E27" s="271">
        <f>D9</f>
        <v>2000000</v>
      </c>
      <c r="F27" s="271">
        <f>D9</f>
        <v>2000000</v>
      </c>
      <c r="G27" s="271">
        <f>D9</f>
        <v>2000000</v>
      </c>
      <c r="H27" s="272">
        <f>SUM(E27:G27)</f>
        <v>6000000</v>
      </c>
      <c r="I27" s="433" t="s">
        <v>987</v>
      </c>
      <c r="J27" s="433"/>
      <c r="K27" s="433"/>
      <c r="L27" s="433"/>
    </row>
    <row r="28" spans="1:12" ht="21.75" customHeight="1" x14ac:dyDescent="0.35">
      <c r="A28" s="275" t="s">
        <v>988</v>
      </c>
      <c r="B28" s="276" t="s">
        <v>989</v>
      </c>
      <c r="C28" s="277"/>
      <c r="D28" s="278">
        <f>SUM(D25:D27)</f>
        <v>2780000</v>
      </c>
      <c r="E28" s="278">
        <f>SUM(E25:E27)</f>
        <v>2170000</v>
      </c>
      <c r="F28" s="278">
        <f>SUM(F25:F27)</f>
        <v>2120000</v>
      </c>
      <c r="G28" s="278">
        <f>SUM(G25:G27)</f>
        <v>2120000</v>
      </c>
      <c r="H28" s="278">
        <f>SUM(E28:G28)</f>
        <v>6410000</v>
      </c>
      <c r="I28" s="454"/>
      <c r="J28" s="454"/>
      <c r="K28" s="454"/>
      <c r="L28" s="454"/>
    </row>
    <row r="29" spans="1:12" ht="18" customHeight="1" x14ac:dyDescent="0.35"/>
    <row r="30" spans="1:12" ht="18" customHeight="1" x14ac:dyDescent="0.35">
      <c r="A30" s="455" t="s">
        <v>990</v>
      </c>
      <c r="B30" s="455"/>
      <c r="C30" s="455"/>
      <c r="D30" s="455"/>
      <c r="E30" s="455"/>
      <c r="F30" s="455"/>
      <c r="G30" s="455"/>
      <c r="H30" s="455"/>
      <c r="I30" s="455"/>
      <c r="J30" s="455"/>
      <c r="K30" s="455"/>
      <c r="L30" s="455"/>
    </row>
    <row r="31" spans="1:12" ht="21.75" customHeight="1" x14ac:dyDescent="0.35">
      <c r="A31" s="49" t="s">
        <v>991</v>
      </c>
      <c r="B31" s="249" t="s">
        <v>992</v>
      </c>
      <c r="C31" s="267" t="s">
        <v>814</v>
      </c>
      <c r="D31" s="271">
        <v>0</v>
      </c>
      <c r="E31" s="271">
        <f>D14*12*D15*0.15</f>
        <v>252000</v>
      </c>
      <c r="F31" s="271">
        <f>D14*12*D15*0.3</f>
        <v>504000</v>
      </c>
      <c r="G31" s="271">
        <f>D14*12*D15*0.4</f>
        <v>672000</v>
      </c>
      <c r="H31" s="272">
        <f t="shared" ref="H31:H36" si="0">SUM(E31:G31)</f>
        <v>1428000</v>
      </c>
      <c r="I31" s="433" t="s">
        <v>993</v>
      </c>
      <c r="J31" s="433"/>
      <c r="K31" s="433"/>
      <c r="L31" s="433"/>
    </row>
    <row r="32" spans="1:12" ht="21.75" customHeight="1" x14ac:dyDescent="0.35">
      <c r="A32" s="53" t="s">
        <v>994</v>
      </c>
      <c r="B32" s="245" t="s">
        <v>856</v>
      </c>
      <c r="C32" s="268" t="s">
        <v>803</v>
      </c>
      <c r="D32" s="273">
        <v>0</v>
      </c>
      <c r="E32" s="273">
        <f>D17*12*D16*0.25*D13</f>
        <v>53460</v>
      </c>
      <c r="F32" s="273">
        <f>D17*12*D16*0.4*D13</f>
        <v>85536.000000000015</v>
      </c>
      <c r="G32" s="273">
        <f>D17*12*D16*0.55*D13</f>
        <v>117612.00000000001</v>
      </c>
      <c r="H32" s="274">
        <f t="shared" si="0"/>
        <v>256608</v>
      </c>
      <c r="I32" s="432" t="s">
        <v>995</v>
      </c>
      <c r="J32" s="432"/>
      <c r="K32" s="432"/>
      <c r="L32" s="432"/>
    </row>
    <row r="33" spans="1:12" ht="21.75" customHeight="1" x14ac:dyDescent="0.35">
      <c r="A33" s="49" t="s">
        <v>996</v>
      </c>
      <c r="B33" s="249" t="s">
        <v>859</v>
      </c>
      <c r="C33" s="267" t="s">
        <v>997</v>
      </c>
      <c r="D33" s="271">
        <v>0</v>
      </c>
      <c r="E33" s="271">
        <f>D17*12*0.1*D18*2</f>
        <v>2376000</v>
      </c>
      <c r="F33" s="271">
        <f>D17*12*0.2*D18*2</f>
        <v>4752000</v>
      </c>
      <c r="G33" s="271">
        <f>D17*12*0.3*D18*2</f>
        <v>7128000</v>
      </c>
      <c r="H33" s="272">
        <f t="shared" si="0"/>
        <v>14256000</v>
      </c>
      <c r="I33" s="433" t="s">
        <v>998</v>
      </c>
      <c r="J33" s="433"/>
      <c r="K33" s="433"/>
      <c r="L33" s="433"/>
    </row>
    <row r="34" spans="1:12" ht="21.75" customHeight="1" x14ac:dyDescent="0.35">
      <c r="A34" s="53" t="s">
        <v>999</v>
      </c>
      <c r="B34" s="245" t="s">
        <v>1000</v>
      </c>
      <c r="C34" s="268" t="s">
        <v>1001</v>
      </c>
      <c r="D34" s="273">
        <v>0</v>
      </c>
      <c r="E34" s="273">
        <f>D19*0.05</f>
        <v>175000</v>
      </c>
      <c r="F34" s="273">
        <f>D19*0.12</f>
        <v>420000</v>
      </c>
      <c r="G34" s="273">
        <f>D19*0.2</f>
        <v>700000</v>
      </c>
      <c r="H34" s="274">
        <f t="shared" si="0"/>
        <v>1295000</v>
      </c>
      <c r="I34" s="432" t="s">
        <v>1002</v>
      </c>
      <c r="J34" s="432"/>
      <c r="K34" s="432"/>
      <c r="L34" s="432"/>
    </row>
    <row r="35" spans="1:12" ht="21.75" customHeight="1" x14ac:dyDescent="0.35">
      <c r="A35" s="49" t="s">
        <v>1003</v>
      </c>
      <c r="B35" s="249" t="s">
        <v>1004</v>
      </c>
      <c r="C35" s="267" t="s">
        <v>832</v>
      </c>
      <c r="D35" s="271">
        <v>0</v>
      </c>
      <c r="E35" s="271">
        <f>D13*5*52*2</f>
        <v>93600</v>
      </c>
      <c r="F35" s="271">
        <f>D13*12*52*2</f>
        <v>224640</v>
      </c>
      <c r="G35" s="271">
        <f>D13*20*52*3</f>
        <v>561600</v>
      </c>
      <c r="H35" s="272">
        <f t="shared" si="0"/>
        <v>879840</v>
      </c>
      <c r="I35" s="433" t="s">
        <v>1005</v>
      </c>
      <c r="J35" s="433"/>
      <c r="K35" s="433"/>
      <c r="L35" s="433"/>
    </row>
    <row r="36" spans="1:12" ht="21.75" customHeight="1" x14ac:dyDescent="0.35">
      <c r="A36" s="275" t="s">
        <v>1006</v>
      </c>
      <c r="B36" s="276" t="s">
        <v>1007</v>
      </c>
      <c r="C36" s="277"/>
      <c r="D36" s="278">
        <f>SUM(D31:D35)</f>
        <v>0</v>
      </c>
      <c r="E36" s="278">
        <f>SUM(E31:E35)</f>
        <v>2950060</v>
      </c>
      <c r="F36" s="278">
        <f>SUM(F31:F35)</f>
        <v>5986176</v>
      </c>
      <c r="G36" s="278">
        <f>SUM(G31:G35)</f>
        <v>9179212</v>
      </c>
      <c r="H36" s="278">
        <f t="shared" si="0"/>
        <v>18115448</v>
      </c>
      <c r="I36" s="454"/>
      <c r="J36" s="454"/>
      <c r="K36" s="454"/>
      <c r="L36" s="454"/>
    </row>
    <row r="37" spans="1:12" ht="18" customHeight="1" x14ac:dyDescent="0.35"/>
    <row r="38" spans="1:12" ht="21.75" customHeight="1" x14ac:dyDescent="0.35">
      <c r="A38" s="275" t="s">
        <v>1008</v>
      </c>
      <c r="B38" s="276" t="s">
        <v>1009</v>
      </c>
      <c r="C38" s="277"/>
      <c r="D38" s="278">
        <f>D36-D28</f>
        <v>-2780000</v>
      </c>
      <c r="E38" s="278">
        <f>E36-E28</f>
        <v>780060</v>
      </c>
      <c r="F38" s="278">
        <f>F36-F28</f>
        <v>3866176</v>
      </c>
      <c r="G38" s="278">
        <f>G36-G28</f>
        <v>7059212</v>
      </c>
      <c r="H38" s="278">
        <f>G38</f>
        <v>7059212</v>
      </c>
      <c r="I38" s="454" t="s">
        <v>1010</v>
      </c>
      <c r="J38" s="454"/>
      <c r="K38" s="454"/>
      <c r="L38" s="454"/>
    </row>
    <row r="39" spans="1:12" ht="21.75" customHeight="1" x14ac:dyDescent="0.35">
      <c r="A39" s="275" t="s">
        <v>1011</v>
      </c>
      <c r="B39" s="276" t="s">
        <v>1012</v>
      </c>
      <c r="C39" s="277"/>
      <c r="D39" s="279">
        <f>IFERROR(D38/D28,0)</f>
        <v>-1</v>
      </c>
      <c r="E39" s="279">
        <f>IFERROR(E38/E28,0)</f>
        <v>0.35947465437788018</v>
      </c>
      <c r="F39" s="279">
        <f>IFERROR(F38/F28,0)</f>
        <v>1.8236679245283018</v>
      </c>
      <c r="G39" s="279">
        <f>IFERROR(G38/G28,0)</f>
        <v>3.3298169811320757</v>
      </c>
      <c r="H39" s="280"/>
      <c r="I39" s="454" t="s">
        <v>1013</v>
      </c>
      <c r="J39" s="454"/>
      <c r="K39" s="454"/>
      <c r="L39" s="454"/>
    </row>
    <row r="40" spans="1:12" ht="21.75" customHeight="1" x14ac:dyDescent="0.35">
      <c r="A40" s="275" t="s">
        <v>1014</v>
      </c>
      <c r="B40" s="276" t="s">
        <v>1015</v>
      </c>
      <c r="C40" s="277"/>
      <c r="D40" s="278">
        <f>D38</f>
        <v>-2780000</v>
      </c>
      <c r="E40" s="278">
        <f>D40+E38</f>
        <v>-1999940</v>
      </c>
      <c r="F40" s="278">
        <f>E40+F38</f>
        <v>1866236</v>
      </c>
      <c r="G40" s="278">
        <f>F40+G38</f>
        <v>8925448</v>
      </c>
      <c r="H40" s="280"/>
      <c r="I40" s="454" t="s">
        <v>1016</v>
      </c>
      <c r="J40" s="454"/>
      <c r="K40" s="454"/>
      <c r="L40" s="454"/>
    </row>
    <row r="42" spans="1:12" ht="24" customHeight="1" x14ac:dyDescent="0.35">
      <c r="A42" s="400" t="s">
        <v>1017</v>
      </c>
      <c r="B42" s="400"/>
      <c r="C42" s="400"/>
      <c r="D42" s="400"/>
      <c r="E42" s="400"/>
      <c r="F42" s="400"/>
      <c r="G42" s="400"/>
      <c r="H42" s="400"/>
      <c r="I42" s="400"/>
      <c r="J42" s="400"/>
      <c r="K42" s="400"/>
      <c r="L42" s="400"/>
    </row>
    <row r="43" spans="1:12" ht="27.75" customHeight="1" x14ac:dyDescent="0.35">
      <c r="A43" s="456" t="s">
        <v>1018</v>
      </c>
      <c r="B43" s="456"/>
      <c r="C43" s="457" t="s">
        <v>1019</v>
      </c>
      <c r="D43" s="457"/>
      <c r="E43" s="458" t="s">
        <v>1020</v>
      </c>
      <c r="F43" s="458"/>
      <c r="G43" s="459" t="s">
        <v>1021</v>
      </c>
      <c r="H43" s="459"/>
      <c r="I43" s="460" t="s">
        <v>1022</v>
      </c>
      <c r="J43" s="460"/>
      <c r="K43" s="461" t="s">
        <v>1023</v>
      </c>
      <c r="L43" s="461"/>
    </row>
    <row r="44" spans="1:12" ht="36" customHeight="1" x14ac:dyDescent="0.35">
      <c r="A44" s="462">
        <f>SUM(H36)</f>
        <v>18115448</v>
      </c>
      <c r="B44" s="462"/>
      <c r="C44" s="463">
        <f>SUM(H28)</f>
        <v>6410000</v>
      </c>
      <c r="D44" s="463"/>
      <c r="E44" s="464">
        <f>H36-H28</f>
        <v>11705448</v>
      </c>
      <c r="F44" s="464"/>
      <c r="G44" s="465">
        <f>IFERROR((H36-H28)/H28,0)</f>
        <v>1.8261229329173168</v>
      </c>
      <c r="H44" s="465"/>
      <c r="I44" s="466">
        <f>IFERROR(NPV(D20,E38,F38,G38)+D38,0)</f>
        <v>6428022.6897069849</v>
      </c>
      <c r="J44" s="466"/>
      <c r="K44" s="467" t="str">
        <f>IFERROR(IF(G40&gt;0,"&lt; 3 Years","Exceeds 3 Years"),"N/A")</f>
        <v>&lt; 3 Years</v>
      </c>
      <c r="L44" s="467"/>
    </row>
  </sheetData>
  <mergeCells count="48">
    <mergeCell ref="K44:L44"/>
    <mergeCell ref="A44:B44"/>
    <mergeCell ref="C44:D44"/>
    <mergeCell ref="E44:F44"/>
    <mergeCell ref="G44:H44"/>
    <mergeCell ref="I44:J44"/>
    <mergeCell ref="A42:L42"/>
    <mergeCell ref="A43:B43"/>
    <mergeCell ref="C43:D43"/>
    <mergeCell ref="E43:F43"/>
    <mergeCell ref="G43:H43"/>
    <mergeCell ref="I43:J43"/>
    <mergeCell ref="K43:L43"/>
    <mergeCell ref="I35:L35"/>
    <mergeCell ref="I36:L36"/>
    <mergeCell ref="I38:L38"/>
    <mergeCell ref="I39:L39"/>
    <mergeCell ref="I40:L40"/>
    <mergeCell ref="A30:L30"/>
    <mergeCell ref="I31:L31"/>
    <mergeCell ref="I32:L32"/>
    <mergeCell ref="I33:L33"/>
    <mergeCell ref="I34:L34"/>
    <mergeCell ref="A24:L24"/>
    <mergeCell ref="I25:L25"/>
    <mergeCell ref="I26:L26"/>
    <mergeCell ref="I27:L27"/>
    <mergeCell ref="I28:L28"/>
    <mergeCell ref="E18:L18"/>
    <mergeCell ref="E19:L19"/>
    <mergeCell ref="E20:L20"/>
    <mergeCell ref="A22:L22"/>
    <mergeCell ref="I23:L23"/>
    <mergeCell ref="E13:L13"/>
    <mergeCell ref="E14:L14"/>
    <mergeCell ref="E15:L15"/>
    <mergeCell ref="E16:L16"/>
    <mergeCell ref="E17:L17"/>
    <mergeCell ref="E7:L7"/>
    <mergeCell ref="E8:L8"/>
    <mergeCell ref="E9:L9"/>
    <mergeCell ref="E10:L10"/>
    <mergeCell ref="A12:L12"/>
    <mergeCell ref="A1:L1"/>
    <mergeCell ref="A2:L2"/>
    <mergeCell ref="A4:L4"/>
    <mergeCell ref="E5:L5"/>
    <mergeCell ref="A6:L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K33"/>
  <sheetViews>
    <sheetView showGridLines="0" zoomScaleNormal="100" workbookViewId="0">
      <selection sqref="A1:K1"/>
    </sheetView>
  </sheetViews>
  <sheetFormatPr defaultColWidth="8.6328125" defaultRowHeight="14.5" x14ac:dyDescent="0.35"/>
  <cols>
    <col min="1" max="1" width="4" customWidth="1"/>
    <col min="2" max="2" width="26" customWidth="1"/>
    <col min="3" max="3" width="20" customWidth="1"/>
    <col min="4" max="7" width="12" customWidth="1"/>
    <col min="8" max="8" width="16" customWidth="1"/>
    <col min="9" max="9" width="20" customWidth="1"/>
    <col min="10" max="11" width="14" customWidth="1"/>
  </cols>
  <sheetData>
    <row r="1" spans="1:11" ht="36" customHeight="1" x14ac:dyDescent="0.35">
      <c r="A1" s="386" t="s">
        <v>1024</v>
      </c>
      <c r="B1" s="386"/>
      <c r="C1" s="386"/>
      <c r="D1" s="386"/>
      <c r="E1" s="386"/>
      <c r="F1" s="386"/>
      <c r="G1" s="386"/>
      <c r="H1" s="386"/>
      <c r="I1" s="386"/>
      <c r="J1" s="386"/>
      <c r="K1" s="386"/>
    </row>
    <row r="2" spans="1:11" ht="19.5" customHeight="1" x14ac:dyDescent="0.35">
      <c r="A2" s="1" t="s">
        <v>1025</v>
      </c>
      <c r="B2" s="1"/>
      <c r="C2" s="1"/>
      <c r="D2" s="1"/>
      <c r="E2" s="1"/>
      <c r="F2" s="1"/>
      <c r="G2" s="1"/>
      <c r="H2" s="1"/>
      <c r="I2" s="1"/>
      <c r="J2" s="1"/>
      <c r="K2" s="1"/>
    </row>
    <row r="4" spans="1:11" ht="24" customHeight="1" x14ac:dyDescent="0.35">
      <c r="A4" s="390" t="s">
        <v>1026</v>
      </c>
      <c r="B4" s="390"/>
      <c r="C4" s="390"/>
      <c r="D4" s="390"/>
      <c r="E4" s="390"/>
      <c r="F4" s="390"/>
      <c r="G4" s="390"/>
      <c r="H4" s="390"/>
      <c r="I4" s="390"/>
      <c r="J4" s="390"/>
      <c r="K4" s="390"/>
    </row>
    <row r="5" spans="1:11" ht="18" customHeight="1" x14ac:dyDescent="0.35">
      <c r="A5" s="281" t="s">
        <v>1027</v>
      </c>
      <c r="B5" s="468" t="s">
        <v>1028</v>
      </c>
      <c r="C5" s="468"/>
      <c r="D5" s="468"/>
      <c r="E5" s="468"/>
      <c r="F5" s="468"/>
      <c r="G5" s="468"/>
      <c r="H5" s="468"/>
      <c r="I5" s="468"/>
      <c r="J5" s="468"/>
      <c r="K5" s="468"/>
    </row>
    <row r="6" spans="1:11" ht="18" customHeight="1" x14ac:dyDescent="0.35">
      <c r="A6" s="281" t="s">
        <v>1029</v>
      </c>
      <c r="B6" s="468" t="s">
        <v>1030</v>
      </c>
      <c r="C6" s="468"/>
      <c r="D6" s="468"/>
      <c r="E6" s="468"/>
      <c r="F6" s="468"/>
      <c r="G6" s="468"/>
      <c r="H6" s="468"/>
      <c r="I6" s="468"/>
      <c r="J6" s="468"/>
      <c r="K6" s="468"/>
    </row>
    <row r="7" spans="1:11" ht="18" customHeight="1" x14ac:dyDescent="0.35">
      <c r="A7" s="281" t="s">
        <v>1031</v>
      </c>
      <c r="B7" s="468" t="s">
        <v>1032</v>
      </c>
      <c r="C7" s="468"/>
      <c r="D7" s="468"/>
      <c r="E7" s="468"/>
      <c r="F7" s="468"/>
      <c r="G7" s="468"/>
      <c r="H7" s="468"/>
      <c r="I7" s="468"/>
      <c r="J7" s="468"/>
      <c r="K7" s="468"/>
    </row>
    <row r="9" spans="1:11" ht="39.75" customHeight="1" x14ac:dyDescent="0.35">
      <c r="A9" s="282" t="s">
        <v>1033</v>
      </c>
      <c r="B9" s="282" t="s">
        <v>1034</v>
      </c>
      <c r="C9" s="282" t="s">
        <v>795</v>
      </c>
      <c r="D9" s="282" t="s">
        <v>1035</v>
      </c>
      <c r="E9" s="282" t="s">
        <v>1036</v>
      </c>
      <c r="F9" s="282" t="s">
        <v>1037</v>
      </c>
      <c r="G9" s="282" t="s">
        <v>1038</v>
      </c>
      <c r="H9" s="282" t="s">
        <v>1039</v>
      </c>
      <c r="I9" s="282" t="s">
        <v>869</v>
      </c>
      <c r="J9" s="282" t="s">
        <v>191</v>
      </c>
      <c r="K9" s="282" t="s">
        <v>1040</v>
      </c>
    </row>
    <row r="10" spans="1:11" ht="45.75" customHeight="1" x14ac:dyDescent="0.35">
      <c r="A10" s="95" t="s">
        <v>1041</v>
      </c>
      <c r="B10" s="283" t="s">
        <v>1042</v>
      </c>
      <c r="C10" s="284" t="s">
        <v>1043</v>
      </c>
      <c r="D10" s="73">
        <v>4</v>
      </c>
      <c r="E10" s="73">
        <v>4</v>
      </c>
      <c r="F10" s="285">
        <f t="shared" ref="F10:F23" si="0">D10*E10</f>
        <v>16</v>
      </c>
      <c r="G10" s="286" t="str">
        <f t="shared" ref="G10:G23" si="1">IF(F10&gt;=15,"🔴 Critical",IF(F10&gt;=10,"🟠 High",IF(F10&gt;=5,"🟡 Medium","🟢 Low")))</f>
        <v>🔴 Critical</v>
      </c>
      <c r="H10" s="96" t="s">
        <v>1044</v>
      </c>
      <c r="I10" s="197" t="s">
        <v>1045</v>
      </c>
      <c r="J10" s="73" t="s">
        <v>1046</v>
      </c>
      <c r="K10" s="73" t="s">
        <v>879</v>
      </c>
    </row>
    <row r="11" spans="1:11" ht="45.75" customHeight="1" x14ac:dyDescent="0.35">
      <c r="A11" s="103" t="s">
        <v>1047</v>
      </c>
      <c r="B11" s="287" t="s">
        <v>1048</v>
      </c>
      <c r="C11" s="91" t="s">
        <v>822</v>
      </c>
      <c r="D11" s="73">
        <v>3</v>
      </c>
      <c r="E11" s="73">
        <v>4</v>
      </c>
      <c r="F11" s="288">
        <f t="shared" si="0"/>
        <v>12</v>
      </c>
      <c r="G11" s="289" t="str">
        <f t="shared" si="1"/>
        <v>🟠 High</v>
      </c>
      <c r="H11" s="104" t="s">
        <v>1049</v>
      </c>
      <c r="I11" s="199" t="s">
        <v>885</v>
      </c>
      <c r="J11" s="73" t="s">
        <v>1046</v>
      </c>
      <c r="K11" s="73" t="s">
        <v>879</v>
      </c>
    </row>
    <row r="12" spans="1:11" ht="45.75" customHeight="1" x14ac:dyDescent="0.35">
      <c r="A12" s="95" t="s">
        <v>1050</v>
      </c>
      <c r="B12" s="283" t="s">
        <v>1051</v>
      </c>
      <c r="C12" s="86" t="s">
        <v>1052</v>
      </c>
      <c r="D12" s="73">
        <v>3</v>
      </c>
      <c r="E12" s="73">
        <v>4</v>
      </c>
      <c r="F12" s="288">
        <f t="shared" si="0"/>
        <v>12</v>
      </c>
      <c r="G12" s="289" t="str">
        <f t="shared" si="1"/>
        <v>🟠 High</v>
      </c>
      <c r="H12" s="96" t="s">
        <v>1053</v>
      </c>
      <c r="I12" s="197" t="s">
        <v>1054</v>
      </c>
      <c r="J12" s="73" t="s">
        <v>766</v>
      </c>
      <c r="K12" s="73" t="s">
        <v>879</v>
      </c>
    </row>
    <row r="13" spans="1:11" ht="45.75" customHeight="1" x14ac:dyDescent="0.35">
      <c r="A13" s="103" t="s">
        <v>1055</v>
      </c>
      <c r="B13" s="287" t="s">
        <v>1056</v>
      </c>
      <c r="C13" s="197" t="s">
        <v>514</v>
      </c>
      <c r="D13" s="73">
        <v>4</v>
      </c>
      <c r="E13" s="73">
        <v>3</v>
      </c>
      <c r="F13" s="288">
        <f t="shared" si="0"/>
        <v>12</v>
      </c>
      <c r="G13" s="289" t="str">
        <f t="shared" si="1"/>
        <v>🟠 High</v>
      </c>
      <c r="H13" s="104" t="s">
        <v>1057</v>
      </c>
      <c r="I13" s="199" t="s">
        <v>891</v>
      </c>
      <c r="J13" s="73" t="s">
        <v>1046</v>
      </c>
      <c r="K13" s="73" t="s">
        <v>879</v>
      </c>
    </row>
    <row r="14" spans="1:11" ht="45.75" customHeight="1" x14ac:dyDescent="0.35">
      <c r="A14" s="95" t="s">
        <v>1058</v>
      </c>
      <c r="B14" s="283" t="s">
        <v>1059</v>
      </c>
      <c r="C14" s="76" t="s">
        <v>1060</v>
      </c>
      <c r="D14" s="73">
        <v>3</v>
      </c>
      <c r="E14" s="73">
        <v>5</v>
      </c>
      <c r="F14" s="285">
        <f t="shared" si="0"/>
        <v>15</v>
      </c>
      <c r="G14" s="286" t="str">
        <f t="shared" si="1"/>
        <v>🔴 Critical</v>
      </c>
      <c r="H14" s="96" t="s">
        <v>1061</v>
      </c>
      <c r="I14" s="197" t="s">
        <v>1062</v>
      </c>
      <c r="J14" s="73" t="s">
        <v>1046</v>
      </c>
      <c r="K14" s="73" t="s">
        <v>879</v>
      </c>
    </row>
    <row r="15" spans="1:11" ht="45.75" customHeight="1" x14ac:dyDescent="0.35">
      <c r="A15" s="103" t="s">
        <v>1063</v>
      </c>
      <c r="B15" s="287" t="s">
        <v>1064</v>
      </c>
      <c r="C15" s="91" t="s">
        <v>822</v>
      </c>
      <c r="D15" s="73">
        <v>3</v>
      </c>
      <c r="E15" s="73">
        <v>4</v>
      </c>
      <c r="F15" s="288">
        <f t="shared" si="0"/>
        <v>12</v>
      </c>
      <c r="G15" s="289" t="str">
        <f t="shared" si="1"/>
        <v>🟠 High</v>
      </c>
      <c r="H15" s="104" t="s">
        <v>1065</v>
      </c>
      <c r="I15" s="199" t="s">
        <v>1066</v>
      </c>
      <c r="J15" s="73" t="s">
        <v>1067</v>
      </c>
      <c r="K15" s="73" t="s">
        <v>879</v>
      </c>
    </row>
    <row r="16" spans="1:11" ht="45.75" customHeight="1" x14ac:dyDescent="0.35">
      <c r="A16" s="95" t="s">
        <v>1068</v>
      </c>
      <c r="B16" s="283" t="s">
        <v>1069</v>
      </c>
      <c r="C16" s="290" t="s">
        <v>1070</v>
      </c>
      <c r="D16" s="73">
        <v>3</v>
      </c>
      <c r="E16" s="73">
        <v>5</v>
      </c>
      <c r="F16" s="285">
        <f t="shared" si="0"/>
        <v>15</v>
      </c>
      <c r="G16" s="286" t="str">
        <f t="shared" si="1"/>
        <v>🔴 Critical</v>
      </c>
      <c r="H16" s="96" t="s">
        <v>1071</v>
      </c>
      <c r="I16" s="197" t="s">
        <v>1072</v>
      </c>
      <c r="J16" s="73" t="s">
        <v>1046</v>
      </c>
      <c r="K16" s="73" t="s">
        <v>879</v>
      </c>
    </row>
    <row r="17" spans="1:11" ht="45.75" customHeight="1" x14ac:dyDescent="0.35">
      <c r="A17" s="103" t="s">
        <v>1073</v>
      </c>
      <c r="B17" s="287" t="s">
        <v>1074</v>
      </c>
      <c r="C17" s="290" t="s">
        <v>1075</v>
      </c>
      <c r="D17" s="73">
        <v>2</v>
      </c>
      <c r="E17" s="73">
        <v>5</v>
      </c>
      <c r="F17" s="288">
        <f t="shared" si="0"/>
        <v>10</v>
      </c>
      <c r="G17" s="289" t="str">
        <f t="shared" si="1"/>
        <v>🟠 High</v>
      </c>
      <c r="H17" s="104" t="s">
        <v>1076</v>
      </c>
      <c r="I17" s="199" t="s">
        <v>1077</v>
      </c>
      <c r="J17" s="73" t="s">
        <v>1046</v>
      </c>
      <c r="K17" s="73" t="s">
        <v>879</v>
      </c>
    </row>
    <row r="18" spans="1:11" ht="45.75" customHeight="1" x14ac:dyDescent="0.35">
      <c r="A18" s="95" t="s">
        <v>1078</v>
      </c>
      <c r="B18" s="283" t="s">
        <v>1079</v>
      </c>
      <c r="C18" s="86" t="s">
        <v>1052</v>
      </c>
      <c r="D18" s="73">
        <v>3</v>
      </c>
      <c r="E18" s="73">
        <v>4</v>
      </c>
      <c r="F18" s="288">
        <f t="shared" si="0"/>
        <v>12</v>
      </c>
      <c r="G18" s="289" t="str">
        <f t="shared" si="1"/>
        <v>🟠 High</v>
      </c>
      <c r="H18" s="96" t="s">
        <v>1080</v>
      </c>
      <c r="I18" s="197" t="s">
        <v>1081</v>
      </c>
      <c r="J18" s="73" t="s">
        <v>766</v>
      </c>
      <c r="K18" s="73" t="s">
        <v>879</v>
      </c>
    </row>
    <row r="19" spans="1:11" ht="45.75" customHeight="1" x14ac:dyDescent="0.35">
      <c r="A19" s="103" t="s">
        <v>1082</v>
      </c>
      <c r="B19" s="287" t="s">
        <v>1083</v>
      </c>
      <c r="C19" s="81" t="s">
        <v>832</v>
      </c>
      <c r="D19" s="73">
        <v>4</v>
      </c>
      <c r="E19" s="73">
        <v>3</v>
      </c>
      <c r="F19" s="288">
        <f t="shared" si="0"/>
        <v>12</v>
      </c>
      <c r="G19" s="289" t="str">
        <f t="shared" si="1"/>
        <v>🟠 High</v>
      </c>
      <c r="H19" s="104" t="s">
        <v>1084</v>
      </c>
      <c r="I19" s="199" t="s">
        <v>1085</v>
      </c>
      <c r="J19" s="73" t="s">
        <v>1046</v>
      </c>
      <c r="K19" s="73" t="s">
        <v>879</v>
      </c>
    </row>
    <row r="20" spans="1:11" ht="45.75" customHeight="1" x14ac:dyDescent="0.35">
      <c r="A20" s="95" t="s">
        <v>1086</v>
      </c>
      <c r="B20" s="283" t="s">
        <v>1087</v>
      </c>
      <c r="C20" s="290" t="s">
        <v>1070</v>
      </c>
      <c r="D20" s="73">
        <v>2</v>
      </c>
      <c r="E20" s="73">
        <v>3</v>
      </c>
      <c r="F20" s="291">
        <f t="shared" si="0"/>
        <v>6</v>
      </c>
      <c r="G20" s="292" t="str">
        <f t="shared" si="1"/>
        <v>🟡 Medium</v>
      </c>
      <c r="H20" s="96" t="s">
        <v>1088</v>
      </c>
      <c r="I20" s="197" t="s">
        <v>1062</v>
      </c>
      <c r="J20" s="73" t="s">
        <v>766</v>
      </c>
      <c r="K20" s="73" t="s">
        <v>879</v>
      </c>
    </row>
    <row r="21" spans="1:11" ht="45.75" customHeight="1" x14ac:dyDescent="0.35">
      <c r="A21" s="103" t="s">
        <v>1089</v>
      </c>
      <c r="B21" s="287" t="s">
        <v>1090</v>
      </c>
      <c r="C21" s="290" t="s">
        <v>1070</v>
      </c>
      <c r="D21" s="73">
        <v>3</v>
      </c>
      <c r="E21" s="73">
        <v>4</v>
      </c>
      <c r="F21" s="288">
        <f t="shared" si="0"/>
        <v>12</v>
      </c>
      <c r="G21" s="289" t="str">
        <f t="shared" si="1"/>
        <v>🟠 High</v>
      </c>
      <c r="H21" s="104" t="s">
        <v>1091</v>
      </c>
      <c r="I21" s="199" t="s">
        <v>1092</v>
      </c>
      <c r="J21" s="73" t="s">
        <v>1046</v>
      </c>
      <c r="K21" s="73" t="s">
        <v>879</v>
      </c>
    </row>
    <row r="22" spans="1:11" ht="45.75" customHeight="1" x14ac:dyDescent="0.35">
      <c r="A22" s="95" t="s">
        <v>1093</v>
      </c>
      <c r="B22" s="283" t="s">
        <v>1094</v>
      </c>
      <c r="C22" s="290" t="s">
        <v>1095</v>
      </c>
      <c r="D22" s="73">
        <v>2</v>
      </c>
      <c r="E22" s="73">
        <v>5</v>
      </c>
      <c r="F22" s="288">
        <f t="shared" si="0"/>
        <v>10</v>
      </c>
      <c r="G22" s="289" t="str">
        <f t="shared" si="1"/>
        <v>🟠 High</v>
      </c>
      <c r="H22" s="96" t="s">
        <v>1096</v>
      </c>
      <c r="I22" s="197" t="s">
        <v>1097</v>
      </c>
      <c r="J22" s="73" t="s">
        <v>1046</v>
      </c>
      <c r="K22" s="73" t="s">
        <v>879</v>
      </c>
    </row>
    <row r="23" spans="1:11" ht="45.75" customHeight="1" x14ac:dyDescent="0.35">
      <c r="A23" s="103" t="s">
        <v>1098</v>
      </c>
      <c r="B23" s="287" t="s">
        <v>1099</v>
      </c>
      <c r="C23" s="197" t="s">
        <v>1100</v>
      </c>
      <c r="D23" s="73">
        <v>3</v>
      </c>
      <c r="E23" s="73">
        <v>3</v>
      </c>
      <c r="F23" s="291">
        <f t="shared" si="0"/>
        <v>9</v>
      </c>
      <c r="G23" s="292" t="str">
        <f t="shared" si="1"/>
        <v>🟡 Medium</v>
      </c>
      <c r="H23" s="104" t="s">
        <v>1101</v>
      </c>
      <c r="I23" s="199" t="s">
        <v>1072</v>
      </c>
      <c r="J23" s="73" t="s">
        <v>1046</v>
      </c>
      <c r="K23" s="73" t="s">
        <v>879</v>
      </c>
    </row>
    <row r="26" spans="1:11" ht="24" customHeight="1" x14ac:dyDescent="0.35">
      <c r="A26" s="404" t="s">
        <v>1102</v>
      </c>
      <c r="B26" s="404"/>
      <c r="C26" s="404"/>
      <c r="D26" s="404"/>
      <c r="E26" s="404"/>
      <c r="F26" s="404"/>
      <c r="G26" s="404"/>
      <c r="H26" s="404"/>
      <c r="I26" s="404"/>
      <c r="J26" s="404"/>
      <c r="K26" s="404"/>
    </row>
    <row r="27" spans="1:11" ht="15" customHeight="1" x14ac:dyDescent="0.35">
      <c r="A27" s="293"/>
      <c r="B27" s="469" t="s">
        <v>1103</v>
      </c>
      <c r="C27" s="469"/>
      <c r="D27" s="469"/>
      <c r="E27" s="469"/>
      <c r="F27" s="469"/>
      <c r="G27" s="293"/>
    </row>
    <row r="28" spans="1:11" ht="36" customHeight="1" x14ac:dyDescent="0.35">
      <c r="A28" s="294" t="s">
        <v>1104</v>
      </c>
      <c r="B28" s="295" t="s">
        <v>1105</v>
      </c>
      <c r="C28" s="295" t="s">
        <v>1106</v>
      </c>
      <c r="D28" s="295" t="s">
        <v>1107</v>
      </c>
      <c r="E28" s="295" t="s">
        <v>1108</v>
      </c>
      <c r="F28" s="295" t="s">
        <v>1109</v>
      </c>
    </row>
    <row r="29" spans="1:11" ht="31.5" customHeight="1" x14ac:dyDescent="0.35">
      <c r="A29" s="295" t="s">
        <v>1110</v>
      </c>
      <c r="B29" s="296" t="s">
        <v>1111</v>
      </c>
      <c r="C29" s="297" t="s">
        <v>1112</v>
      </c>
      <c r="D29" s="297" t="s">
        <v>1113</v>
      </c>
      <c r="E29" s="297" t="s">
        <v>1114</v>
      </c>
      <c r="F29" s="297" t="s">
        <v>1115</v>
      </c>
    </row>
    <row r="30" spans="1:11" ht="31.5" customHeight="1" x14ac:dyDescent="0.35">
      <c r="A30" s="295" t="s">
        <v>1116</v>
      </c>
      <c r="B30" s="298" t="s">
        <v>1117</v>
      </c>
      <c r="C30" s="296" t="s">
        <v>1118</v>
      </c>
      <c r="D30" s="297" t="s">
        <v>1119</v>
      </c>
      <c r="E30" s="297" t="s">
        <v>1120</v>
      </c>
      <c r="F30" s="297" t="s">
        <v>1114</v>
      </c>
    </row>
    <row r="31" spans="1:11" ht="31.5" customHeight="1" x14ac:dyDescent="0.35">
      <c r="A31" s="295" t="s">
        <v>1121</v>
      </c>
      <c r="B31" s="298" t="s">
        <v>1122</v>
      </c>
      <c r="C31" s="298" t="s">
        <v>1123</v>
      </c>
      <c r="D31" s="296" t="s">
        <v>1124</v>
      </c>
      <c r="E31" s="297" t="s">
        <v>1125</v>
      </c>
      <c r="F31" s="297" t="s">
        <v>1126</v>
      </c>
    </row>
    <row r="32" spans="1:11" ht="31.5" customHeight="1" x14ac:dyDescent="0.35">
      <c r="A32" s="295" t="s">
        <v>1127</v>
      </c>
      <c r="B32" s="299" t="s">
        <v>1128</v>
      </c>
      <c r="C32" s="298" t="s">
        <v>1117</v>
      </c>
      <c r="D32" s="298" t="s">
        <v>1129</v>
      </c>
      <c r="E32" s="296" t="s">
        <v>1118</v>
      </c>
      <c r="F32" s="297" t="s">
        <v>1130</v>
      </c>
    </row>
    <row r="33" spans="1:6" ht="31.5" customHeight="1" x14ac:dyDescent="0.35">
      <c r="A33" s="295" t="s">
        <v>1131</v>
      </c>
      <c r="B33" s="299" t="s">
        <v>1132</v>
      </c>
      <c r="C33" s="299" t="s">
        <v>1128</v>
      </c>
      <c r="D33" s="298" t="s">
        <v>1122</v>
      </c>
      <c r="E33" s="298" t="s">
        <v>1117</v>
      </c>
      <c r="F33" s="296" t="s">
        <v>1111</v>
      </c>
    </row>
  </sheetData>
  <mergeCells count="8">
    <mergeCell ref="B7:K7"/>
    <mergeCell ref="A26:K26"/>
    <mergeCell ref="B27:F27"/>
    <mergeCell ref="A1:K1"/>
    <mergeCell ref="A2:K2"/>
    <mergeCell ref="A4:K4"/>
    <mergeCell ref="B5:K5"/>
    <mergeCell ref="B6:K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5C6B"/>
  </sheetPr>
  <dimension ref="A1:K39"/>
  <sheetViews>
    <sheetView showGridLines="0" zoomScaleNormal="100" workbookViewId="0">
      <selection sqref="A1:K1"/>
    </sheetView>
  </sheetViews>
  <sheetFormatPr defaultColWidth="8.6328125" defaultRowHeight="14.5" x14ac:dyDescent="0.35"/>
  <cols>
    <col min="1" max="1" width="4" customWidth="1"/>
    <col min="2" max="2" width="24" customWidth="1"/>
    <col min="3" max="3" width="20" customWidth="1"/>
    <col min="4" max="4" width="16" customWidth="1"/>
    <col min="5" max="5" width="14" customWidth="1"/>
    <col min="6" max="8" width="12" customWidth="1"/>
    <col min="9" max="10" width="14" customWidth="1"/>
    <col min="11" max="11" width="10" customWidth="1"/>
  </cols>
  <sheetData>
    <row r="1" spans="1:11" ht="36" customHeight="1" x14ac:dyDescent="0.35">
      <c r="A1" s="386" t="s">
        <v>1133</v>
      </c>
      <c r="B1" s="386"/>
      <c r="C1" s="386"/>
      <c r="D1" s="386"/>
      <c r="E1" s="386"/>
      <c r="F1" s="386"/>
      <c r="G1" s="386"/>
      <c r="H1" s="386"/>
      <c r="I1" s="386"/>
      <c r="J1" s="386"/>
      <c r="K1" s="386"/>
    </row>
    <row r="2" spans="1:11" ht="19.5" customHeight="1" x14ac:dyDescent="0.35">
      <c r="A2" s="1" t="s">
        <v>1134</v>
      </c>
      <c r="B2" s="1"/>
      <c r="C2" s="1"/>
      <c r="D2" s="1"/>
      <c r="E2" s="1"/>
      <c r="F2" s="1"/>
      <c r="G2" s="1"/>
      <c r="H2" s="1"/>
      <c r="I2" s="1"/>
      <c r="J2" s="1"/>
      <c r="K2" s="1"/>
    </row>
    <row r="4" spans="1:11" ht="24" customHeight="1" x14ac:dyDescent="0.35">
      <c r="A4" s="390" t="s">
        <v>1135</v>
      </c>
      <c r="B4" s="390"/>
      <c r="C4" s="390"/>
      <c r="D4" s="390"/>
      <c r="E4" s="390"/>
      <c r="F4" s="390"/>
      <c r="G4" s="390"/>
      <c r="H4" s="390"/>
      <c r="I4" s="390"/>
      <c r="J4" s="390"/>
      <c r="K4" s="390"/>
    </row>
    <row r="5" spans="1:11" ht="39.75" customHeight="1" x14ac:dyDescent="0.35">
      <c r="A5" s="113" t="s">
        <v>57</v>
      </c>
      <c r="B5" s="113" t="s">
        <v>1136</v>
      </c>
      <c r="C5" s="113" t="s">
        <v>1137</v>
      </c>
      <c r="D5" s="113" t="s">
        <v>1138</v>
      </c>
      <c r="E5" s="113" t="s">
        <v>1139</v>
      </c>
      <c r="F5" s="113" t="s">
        <v>1140</v>
      </c>
      <c r="G5" s="113" t="s">
        <v>1141</v>
      </c>
      <c r="H5" s="113" t="s">
        <v>1142</v>
      </c>
      <c r="I5" s="113" t="s">
        <v>1143</v>
      </c>
      <c r="J5" s="113" t="s">
        <v>705</v>
      </c>
      <c r="K5" s="113" t="s">
        <v>498</v>
      </c>
    </row>
    <row r="6" spans="1:11" ht="18" customHeight="1" x14ac:dyDescent="0.35">
      <c r="A6" s="470" t="s">
        <v>1144</v>
      </c>
      <c r="B6" s="470"/>
      <c r="C6" s="470"/>
      <c r="D6" s="470"/>
      <c r="E6" s="470"/>
      <c r="F6" s="470"/>
      <c r="G6" s="470"/>
      <c r="H6" s="470"/>
      <c r="I6" s="470"/>
      <c r="J6" s="470"/>
      <c r="K6" s="470"/>
    </row>
    <row r="7" spans="1:11" ht="19.5" customHeight="1" x14ac:dyDescent="0.35">
      <c r="A7" s="471" t="s">
        <v>1145</v>
      </c>
      <c r="B7" s="471"/>
      <c r="C7" s="471"/>
      <c r="D7" s="471"/>
      <c r="E7" s="471"/>
      <c r="F7" s="471"/>
      <c r="G7" s="471"/>
      <c r="H7" s="471"/>
      <c r="I7" s="471"/>
      <c r="J7" s="471"/>
      <c r="K7" s="471"/>
    </row>
    <row r="8" spans="1:11" ht="21.75" customHeight="1" x14ac:dyDescent="0.35">
      <c r="A8" s="300" t="s">
        <v>1146</v>
      </c>
      <c r="B8" s="114" t="s">
        <v>1147</v>
      </c>
      <c r="C8" s="301" t="s">
        <v>1148</v>
      </c>
      <c r="D8" s="302" t="s">
        <v>1149</v>
      </c>
      <c r="E8" s="73">
        <v>4</v>
      </c>
      <c r="F8" s="73">
        <v>4</v>
      </c>
      <c r="G8" s="73">
        <v>4</v>
      </c>
      <c r="H8" s="73">
        <v>5</v>
      </c>
      <c r="I8" s="303">
        <f>ROUND(E8*0.4+F8*0.25+G8*0.2+H8*0.15,2)</f>
        <v>4.1500000000000004</v>
      </c>
      <c r="J8" s="115" t="str">
        <f>IF(I8&gt;=4,"★★★ Recommended",IF(I8&gt;=3,"★★ Consider","★ Evaluate"))</f>
        <v>★★★ Recommended</v>
      </c>
      <c r="K8" s="304" t="s">
        <v>1150</v>
      </c>
    </row>
    <row r="9" spans="1:11" ht="21.75" customHeight="1" x14ac:dyDescent="0.35">
      <c r="A9" s="300" t="s">
        <v>1151</v>
      </c>
      <c r="B9" s="114" t="s">
        <v>1152</v>
      </c>
      <c r="C9" s="301" t="s">
        <v>1153</v>
      </c>
      <c r="D9" s="302" t="s">
        <v>1154</v>
      </c>
      <c r="E9" s="73">
        <v>5</v>
      </c>
      <c r="F9" s="73">
        <v>5</v>
      </c>
      <c r="G9" s="73">
        <v>3</v>
      </c>
      <c r="H9" s="73">
        <v>5</v>
      </c>
      <c r="I9" s="303">
        <f>ROUND(E9*0.4+F9*0.25+G9*0.2+H9*0.15,2)</f>
        <v>4.5999999999999996</v>
      </c>
      <c r="J9" s="115" t="str">
        <f>IF(I9&gt;=4,"★★★ Recommended",IF(I9&gt;=3,"★★ Consider","★ Evaluate"))</f>
        <v>★★★ Recommended</v>
      </c>
      <c r="K9" s="304" t="s">
        <v>1150</v>
      </c>
    </row>
    <row r="10" spans="1:11" ht="21.75" customHeight="1" x14ac:dyDescent="0.35">
      <c r="A10" s="300" t="s">
        <v>1155</v>
      </c>
      <c r="B10" s="114" t="s">
        <v>1156</v>
      </c>
      <c r="C10" s="301" t="s">
        <v>1156</v>
      </c>
      <c r="D10" s="302" t="s">
        <v>1157</v>
      </c>
      <c r="E10" s="73">
        <v>5</v>
      </c>
      <c r="F10" s="73">
        <v>4</v>
      </c>
      <c r="G10" s="73">
        <v>2</v>
      </c>
      <c r="H10" s="73">
        <v>5</v>
      </c>
      <c r="I10" s="303">
        <f>ROUND(E10*0.4+F10*0.25+G10*0.2+H10*0.15,2)</f>
        <v>4.1500000000000004</v>
      </c>
      <c r="J10" s="115" t="str">
        <f>IF(I10&gt;=4,"★★★ Recommended",IF(I10&gt;=3,"★★ Consider","★ Evaluate"))</f>
        <v>★★★ Recommended</v>
      </c>
      <c r="K10" s="304" t="s">
        <v>1150</v>
      </c>
    </row>
    <row r="11" spans="1:11" ht="21.75" customHeight="1" x14ac:dyDescent="0.35">
      <c r="A11" s="300" t="s">
        <v>1158</v>
      </c>
      <c r="B11" s="114" t="s">
        <v>1159</v>
      </c>
      <c r="C11" s="301" t="s">
        <v>1160</v>
      </c>
      <c r="D11" s="302" t="s">
        <v>1161</v>
      </c>
      <c r="E11" s="73">
        <v>5</v>
      </c>
      <c r="F11" s="73">
        <v>3</v>
      </c>
      <c r="G11" s="73">
        <v>2</v>
      </c>
      <c r="H11" s="73">
        <v>5</v>
      </c>
      <c r="I11" s="303">
        <f>ROUND(E11*0.4+F11*0.25+G11*0.2+H11*0.15,2)</f>
        <v>3.9</v>
      </c>
      <c r="J11" s="115" t="str">
        <f>IF(I11&gt;=4,"★★★ Recommended",IF(I11&gt;=3,"★★ Consider","★ Evaluate"))</f>
        <v>★★ Consider</v>
      </c>
      <c r="K11" s="304" t="s">
        <v>1150</v>
      </c>
    </row>
    <row r="12" spans="1:11" ht="21.75" customHeight="1" x14ac:dyDescent="0.35">
      <c r="A12" s="300" t="s">
        <v>1162</v>
      </c>
      <c r="B12" s="114" t="s">
        <v>1163</v>
      </c>
      <c r="C12" s="301" t="s">
        <v>1164</v>
      </c>
      <c r="D12" s="302" t="s">
        <v>1165</v>
      </c>
      <c r="E12" s="73">
        <v>4</v>
      </c>
      <c r="F12" s="73">
        <v>4</v>
      </c>
      <c r="G12" s="73">
        <v>5</v>
      </c>
      <c r="H12" s="73">
        <v>4</v>
      </c>
      <c r="I12" s="303">
        <f>ROUND(E12*0.4+F12*0.25+G12*0.2+H12*0.15,2)</f>
        <v>4.2</v>
      </c>
      <c r="J12" s="115" t="str">
        <f>IF(I12&gt;=4,"★★★ Recommended",IF(I12&gt;=3,"★★ Consider","★ Evaluate"))</f>
        <v>★★★ Recommended</v>
      </c>
      <c r="K12" s="304" t="s">
        <v>1150</v>
      </c>
    </row>
    <row r="13" spans="1:11" ht="19.5" customHeight="1" x14ac:dyDescent="0.35">
      <c r="A13" s="472" t="s">
        <v>1166</v>
      </c>
      <c r="B13" s="472"/>
      <c r="C13" s="472"/>
      <c r="D13" s="472"/>
      <c r="E13" s="472"/>
      <c r="F13" s="472"/>
      <c r="G13" s="472"/>
      <c r="H13" s="472"/>
      <c r="I13" s="472"/>
      <c r="J13" s="472"/>
      <c r="K13" s="472"/>
    </row>
    <row r="14" spans="1:11" ht="21.75" customHeight="1" x14ac:dyDescent="0.35">
      <c r="A14" s="305" t="s">
        <v>1167</v>
      </c>
      <c r="B14" s="119" t="s">
        <v>1168</v>
      </c>
      <c r="C14" s="306" t="s">
        <v>1168</v>
      </c>
      <c r="D14" s="307" t="s">
        <v>1169</v>
      </c>
      <c r="E14" s="73">
        <v>5</v>
      </c>
      <c r="F14" s="73">
        <v>4</v>
      </c>
      <c r="G14" s="73">
        <v>3</v>
      </c>
      <c r="H14" s="73">
        <v>4</v>
      </c>
      <c r="I14" s="308">
        <f>ROUND(E14*0.4+F14*0.25+G14*0.2+H14*0.15,2)</f>
        <v>4.2</v>
      </c>
      <c r="J14" s="120" t="str">
        <f>IF(I14&gt;=4,"★★★ Recommended",IF(I14&gt;=3,"★★ Consider","★ Evaluate"))</f>
        <v>★★★ Recommended</v>
      </c>
      <c r="K14" s="309" t="s">
        <v>1150</v>
      </c>
    </row>
    <row r="15" spans="1:11" ht="21.75" customHeight="1" x14ac:dyDescent="0.35">
      <c r="A15" s="305" t="s">
        <v>1170</v>
      </c>
      <c r="B15" s="119" t="s">
        <v>1171</v>
      </c>
      <c r="C15" s="306" t="s">
        <v>1171</v>
      </c>
      <c r="D15" s="307" t="s">
        <v>1172</v>
      </c>
      <c r="E15" s="73">
        <v>5</v>
      </c>
      <c r="F15" s="73">
        <v>4</v>
      </c>
      <c r="G15" s="73">
        <v>3</v>
      </c>
      <c r="H15" s="73">
        <v>4</v>
      </c>
      <c r="I15" s="308">
        <f>ROUND(E15*0.4+F15*0.25+G15*0.2+H15*0.15,2)</f>
        <v>4.2</v>
      </c>
      <c r="J15" s="120" t="str">
        <f>IF(I15&gt;=4,"★★★ Recommended",IF(I15&gt;=3,"★★ Consider","★ Evaluate"))</f>
        <v>★★★ Recommended</v>
      </c>
      <c r="K15" s="309" t="s">
        <v>1150</v>
      </c>
    </row>
    <row r="16" spans="1:11" ht="21.75" customHeight="1" x14ac:dyDescent="0.35">
      <c r="A16" s="305" t="s">
        <v>1173</v>
      </c>
      <c r="B16" s="119" t="s">
        <v>1174</v>
      </c>
      <c r="C16" s="306" t="s">
        <v>1175</v>
      </c>
      <c r="D16" s="307" t="s">
        <v>1176</v>
      </c>
      <c r="E16" s="73">
        <v>4</v>
      </c>
      <c r="F16" s="73">
        <v>5</v>
      </c>
      <c r="G16" s="73">
        <v>2</v>
      </c>
      <c r="H16" s="73">
        <v>5</v>
      </c>
      <c r="I16" s="308">
        <f>ROUND(E16*0.4+F16*0.25+G16*0.2+H16*0.15,2)</f>
        <v>4</v>
      </c>
      <c r="J16" s="120" t="str">
        <f>IF(I16&gt;=4,"★★★ Recommended",IF(I16&gt;=3,"★★ Consider","★ Evaluate"))</f>
        <v>★★★ Recommended</v>
      </c>
      <c r="K16" s="309" t="s">
        <v>1150</v>
      </c>
    </row>
    <row r="17" spans="1:11" ht="21.75" customHeight="1" x14ac:dyDescent="0.35">
      <c r="A17" s="305" t="s">
        <v>1177</v>
      </c>
      <c r="B17" s="119" t="s">
        <v>1178</v>
      </c>
      <c r="C17" s="306" t="s">
        <v>1179</v>
      </c>
      <c r="D17" s="307" t="s">
        <v>1180</v>
      </c>
      <c r="E17" s="73">
        <v>4</v>
      </c>
      <c r="F17" s="73">
        <v>3</v>
      </c>
      <c r="G17" s="73">
        <v>2</v>
      </c>
      <c r="H17" s="73">
        <v>4</v>
      </c>
      <c r="I17" s="308">
        <f>ROUND(E17*0.4+F17*0.25+G17*0.2+H17*0.15,2)</f>
        <v>3.35</v>
      </c>
      <c r="J17" s="120" t="str">
        <f>IF(I17&gt;=4,"★★★ Recommended",IF(I17&gt;=3,"★★ Consider","★ Evaluate"))</f>
        <v>★★ Consider</v>
      </c>
      <c r="K17" s="309" t="s">
        <v>1150</v>
      </c>
    </row>
    <row r="18" spans="1:11" ht="19.5" customHeight="1" x14ac:dyDescent="0.35">
      <c r="A18" s="473" t="s">
        <v>1181</v>
      </c>
      <c r="B18" s="473"/>
      <c r="C18" s="473"/>
      <c r="D18" s="473"/>
      <c r="E18" s="473"/>
      <c r="F18" s="473"/>
      <c r="G18" s="473"/>
      <c r="H18" s="473"/>
      <c r="I18" s="473"/>
      <c r="J18" s="473"/>
      <c r="K18" s="473"/>
    </row>
    <row r="19" spans="1:11" ht="21.75" customHeight="1" x14ac:dyDescent="0.35">
      <c r="A19" s="310" t="s">
        <v>1182</v>
      </c>
      <c r="B19" s="123" t="s">
        <v>1183</v>
      </c>
      <c r="C19" s="311" t="s">
        <v>1184</v>
      </c>
      <c r="D19" s="312" t="s">
        <v>1185</v>
      </c>
      <c r="E19" s="73">
        <v>5</v>
      </c>
      <c r="F19" s="73">
        <v>5</v>
      </c>
      <c r="G19" s="73">
        <v>4</v>
      </c>
      <c r="H19" s="73">
        <v>5</v>
      </c>
      <c r="I19" s="313">
        <f>ROUND(E19*0.4+F19*0.25+G19*0.2+H19*0.15,2)</f>
        <v>4.8</v>
      </c>
      <c r="J19" s="124" t="str">
        <f>IF(I19&gt;=4,"★★★ Recommended",IF(I19&gt;=3,"★★ Consider","★ Evaluate"))</f>
        <v>★★★ Recommended</v>
      </c>
      <c r="K19" s="314" t="s">
        <v>1150</v>
      </c>
    </row>
    <row r="20" spans="1:11" ht="21.75" customHeight="1" x14ac:dyDescent="0.35">
      <c r="A20" s="310" t="s">
        <v>1186</v>
      </c>
      <c r="B20" s="123" t="s">
        <v>1187</v>
      </c>
      <c r="C20" s="311" t="s">
        <v>1188</v>
      </c>
      <c r="D20" s="312" t="s">
        <v>1189</v>
      </c>
      <c r="E20" s="73">
        <v>5</v>
      </c>
      <c r="F20" s="73">
        <v>4</v>
      </c>
      <c r="G20" s="73">
        <v>4</v>
      </c>
      <c r="H20" s="73">
        <v>5</v>
      </c>
      <c r="I20" s="313">
        <f>ROUND(E20*0.4+F20*0.25+G20*0.2+H20*0.15,2)</f>
        <v>4.55</v>
      </c>
      <c r="J20" s="124" t="str">
        <f>IF(I20&gt;=4,"★★★ Recommended",IF(I20&gt;=3,"★★ Consider","★ Evaluate"))</f>
        <v>★★★ Recommended</v>
      </c>
      <c r="K20" s="314" t="s">
        <v>1150</v>
      </c>
    </row>
    <row r="21" spans="1:11" ht="21.75" customHeight="1" x14ac:dyDescent="0.35">
      <c r="A21" s="310" t="s">
        <v>1190</v>
      </c>
      <c r="B21" s="123" t="s">
        <v>1191</v>
      </c>
      <c r="C21" s="311" t="s">
        <v>1191</v>
      </c>
      <c r="D21" s="312" t="s">
        <v>1192</v>
      </c>
      <c r="E21" s="73">
        <v>4</v>
      </c>
      <c r="F21" s="73">
        <v>5</v>
      </c>
      <c r="G21" s="73">
        <v>3</v>
      </c>
      <c r="H21" s="73">
        <v>5</v>
      </c>
      <c r="I21" s="313">
        <f>ROUND(E21*0.4+F21*0.25+G21*0.2+H21*0.15,2)</f>
        <v>4.2</v>
      </c>
      <c r="J21" s="124" t="str">
        <f>IF(I21&gt;=4,"★★★ Recommended",IF(I21&gt;=3,"★★ Consider","★ Evaluate"))</f>
        <v>★★★ Recommended</v>
      </c>
      <c r="K21" s="314" t="s">
        <v>1150</v>
      </c>
    </row>
    <row r="22" spans="1:11" ht="21.75" customHeight="1" x14ac:dyDescent="0.35">
      <c r="A22" s="310" t="s">
        <v>1193</v>
      </c>
      <c r="B22" s="123" t="s">
        <v>1194</v>
      </c>
      <c r="C22" s="311" t="s">
        <v>1195</v>
      </c>
      <c r="D22" s="312" t="s">
        <v>1196</v>
      </c>
      <c r="E22" s="73">
        <v>4</v>
      </c>
      <c r="F22" s="73">
        <v>4</v>
      </c>
      <c r="G22" s="73">
        <v>3</v>
      </c>
      <c r="H22" s="73">
        <v>4</v>
      </c>
      <c r="I22" s="313">
        <f>ROUND(E22*0.4+F22*0.25+G22*0.2+H22*0.15,2)</f>
        <v>3.8</v>
      </c>
      <c r="J22" s="124" t="str">
        <f>IF(I22&gt;=4,"★★★ Recommended",IF(I22&gt;=3,"★★ Consider","★ Evaluate"))</f>
        <v>★★ Consider</v>
      </c>
      <c r="K22" s="314" t="s">
        <v>1150</v>
      </c>
    </row>
    <row r="23" spans="1:11" ht="19.5" customHeight="1" x14ac:dyDescent="0.35">
      <c r="A23" s="474" t="s">
        <v>1197</v>
      </c>
      <c r="B23" s="474"/>
      <c r="C23" s="474"/>
      <c r="D23" s="474"/>
      <c r="E23" s="474"/>
      <c r="F23" s="474"/>
      <c r="G23" s="474"/>
      <c r="H23" s="474"/>
      <c r="I23" s="474"/>
      <c r="J23" s="474"/>
      <c r="K23" s="474"/>
    </row>
    <row r="24" spans="1:11" ht="21.75" customHeight="1" x14ac:dyDescent="0.35">
      <c r="A24" s="315" t="s">
        <v>1198</v>
      </c>
      <c r="B24" s="127" t="s">
        <v>1199</v>
      </c>
      <c r="C24" s="316" t="s">
        <v>1200</v>
      </c>
      <c r="D24" s="317" t="s">
        <v>242</v>
      </c>
      <c r="E24" s="73">
        <v>4</v>
      </c>
      <c r="F24" s="73">
        <v>4</v>
      </c>
      <c r="G24" s="73">
        <v>3</v>
      </c>
      <c r="H24" s="73">
        <v>5</v>
      </c>
      <c r="I24" s="318">
        <f>ROUND(E24*0.4+F24*0.25+G24*0.2+H24*0.15,2)</f>
        <v>3.95</v>
      </c>
      <c r="J24" s="128" t="str">
        <f>IF(I24&gt;=4,"★★★ Recommended",IF(I24&gt;=3,"★★ Consider","★ Evaluate"))</f>
        <v>★★ Consider</v>
      </c>
      <c r="K24" s="319" t="s">
        <v>1150</v>
      </c>
    </row>
    <row r="25" spans="1:11" ht="21.75" customHeight="1" x14ac:dyDescent="0.35">
      <c r="A25" s="315" t="s">
        <v>1201</v>
      </c>
      <c r="B25" s="127" t="s">
        <v>1202</v>
      </c>
      <c r="C25" s="316" t="s">
        <v>1203</v>
      </c>
      <c r="D25" s="317" t="s">
        <v>1204</v>
      </c>
      <c r="E25" s="73">
        <v>4</v>
      </c>
      <c r="F25" s="73">
        <v>4</v>
      </c>
      <c r="G25" s="73">
        <v>3</v>
      </c>
      <c r="H25" s="73">
        <v>5</v>
      </c>
      <c r="I25" s="318">
        <f>ROUND(E25*0.4+F25*0.25+G25*0.2+H25*0.15,2)</f>
        <v>3.95</v>
      </c>
      <c r="J25" s="128" t="str">
        <f>IF(I25&gt;=4,"★★★ Recommended",IF(I25&gt;=3,"★★ Consider","★ Evaluate"))</f>
        <v>★★ Consider</v>
      </c>
      <c r="K25" s="319" t="s">
        <v>1150</v>
      </c>
    </row>
    <row r="26" spans="1:11" ht="21.75" customHeight="1" x14ac:dyDescent="0.35">
      <c r="A26" s="315" t="s">
        <v>1205</v>
      </c>
      <c r="B26" s="127" t="s">
        <v>1206</v>
      </c>
      <c r="C26" s="316" t="s">
        <v>1207</v>
      </c>
      <c r="D26" s="317" t="s">
        <v>1208</v>
      </c>
      <c r="E26" s="73">
        <v>4</v>
      </c>
      <c r="F26" s="73">
        <v>4</v>
      </c>
      <c r="G26" s="73">
        <v>3</v>
      </c>
      <c r="H26" s="73">
        <v>4</v>
      </c>
      <c r="I26" s="318">
        <f>ROUND(E26*0.4+F26*0.25+G26*0.2+H26*0.15,2)</f>
        <v>3.8</v>
      </c>
      <c r="J26" s="128" t="str">
        <f>IF(I26&gt;=4,"★★★ Recommended",IF(I26&gt;=3,"★★ Consider","★ Evaluate"))</f>
        <v>★★ Consider</v>
      </c>
      <c r="K26" s="319" t="s">
        <v>1150</v>
      </c>
    </row>
    <row r="27" spans="1:11" ht="21.75" customHeight="1" x14ac:dyDescent="0.35">
      <c r="A27" s="315" t="s">
        <v>1209</v>
      </c>
      <c r="B27" s="127" t="s">
        <v>1210</v>
      </c>
      <c r="C27" s="316" t="s">
        <v>1211</v>
      </c>
      <c r="D27" s="317" t="s">
        <v>1212</v>
      </c>
      <c r="E27" s="73">
        <v>4</v>
      </c>
      <c r="F27" s="73">
        <v>5</v>
      </c>
      <c r="G27" s="73">
        <v>5</v>
      </c>
      <c r="H27" s="73">
        <v>4</v>
      </c>
      <c r="I27" s="318">
        <f>ROUND(E27*0.4+F27*0.25+G27*0.2+H27*0.15,2)</f>
        <v>4.45</v>
      </c>
      <c r="J27" s="128" t="str">
        <f>IF(I27&gt;=4,"★★★ Recommended",IF(I27&gt;=3,"★★ Consider","★ Evaluate"))</f>
        <v>★★★ Recommended</v>
      </c>
      <c r="K27" s="319" t="s">
        <v>1150</v>
      </c>
    </row>
    <row r="28" spans="1:11" ht="19.5" customHeight="1" x14ac:dyDescent="0.35">
      <c r="A28" s="450" t="s">
        <v>1213</v>
      </c>
      <c r="B28" s="450"/>
      <c r="C28" s="450"/>
      <c r="D28" s="450"/>
      <c r="E28" s="450"/>
      <c r="F28" s="450"/>
      <c r="G28" s="450"/>
      <c r="H28" s="450"/>
      <c r="I28" s="450"/>
      <c r="J28" s="450"/>
      <c r="K28" s="450"/>
    </row>
    <row r="29" spans="1:11" ht="21.75" customHeight="1" x14ac:dyDescent="0.35">
      <c r="A29" s="320" t="s">
        <v>1214</v>
      </c>
      <c r="B29" s="165" t="s">
        <v>1215</v>
      </c>
      <c r="C29" s="321" t="s">
        <v>1216</v>
      </c>
      <c r="D29" s="322" t="s">
        <v>1217</v>
      </c>
      <c r="E29" s="73">
        <v>5</v>
      </c>
      <c r="F29" s="73">
        <v>4</v>
      </c>
      <c r="G29" s="73">
        <v>3</v>
      </c>
      <c r="H29" s="73">
        <v>5</v>
      </c>
      <c r="I29" s="323">
        <f>ROUND(E29*0.4+F29*0.25+G29*0.2+H29*0.15,2)</f>
        <v>4.3499999999999996</v>
      </c>
      <c r="J29" s="324" t="str">
        <f>IF(I29&gt;=4,"★★★ Recommended",IF(I29&gt;=3,"★★ Consider","★ Evaluate"))</f>
        <v>★★★ Recommended</v>
      </c>
      <c r="K29" s="325" t="s">
        <v>1150</v>
      </c>
    </row>
    <row r="30" spans="1:11" ht="21.75" customHeight="1" x14ac:dyDescent="0.35">
      <c r="A30" s="320" t="s">
        <v>1218</v>
      </c>
      <c r="B30" s="165" t="s">
        <v>1219</v>
      </c>
      <c r="C30" s="321" t="s">
        <v>1200</v>
      </c>
      <c r="D30" s="322" t="s">
        <v>1220</v>
      </c>
      <c r="E30" s="73">
        <v>4</v>
      </c>
      <c r="F30" s="73">
        <v>4</v>
      </c>
      <c r="G30" s="73">
        <v>3</v>
      </c>
      <c r="H30" s="73">
        <v>5</v>
      </c>
      <c r="I30" s="323">
        <f>ROUND(E30*0.4+F30*0.25+G30*0.2+H30*0.15,2)</f>
        <v>3.95</v>
      </c>
      <c r="J30" s="324" t="str">
        <f>IF(I30&gt;=4,"★★★ Recommended",IF(I30&gt;=3,"★★ Consider","★ Evaluate"))</f>
        <v>★★ Consider</v>
      </c>
      <c r="K30" s="325" t="s">
        <v>1150</v>
      </c>
    </row>
    <row r="31" spans="1:11" ht="21.75" customHeight="1" x14ac:dyDescent="0.35">
      <c r="A31" s="320" t="s">
        <v>1221</v>
      </c>
      <c r="B31" s="165" t="s">
        <v>1222</v>
      </c>
      <c r="C31" s="321" t="s">
        <v>1207</v>
      </c>
      <c r="D31" s="322" t="s">
        <v>1223</v>
      </c>
      <c r="E31" s="73">
        <v>4</v>
      </c>
      <c r="F31" s="73">
        <v>4</v>
      </c>
      <c r="G31" s="73">
        <v>3</v>
      </c>
      <c r="H31" s="73">
        <v>4</v>
      </c>
      <c r="I31" s="323">
        <f>ROUND(E31*0.4+F31*0.25+G31*0.2+H31*0.15,2)</f>
        <v>3.8</v>
      </c>
      <c r="J31" s="324" t="str">
        <f>IF(I31&gt;=4,"★★★ Recommended",IF(I31&gt;=3,"★★ Consider","★ Evaluate"))</f>
        <v>★★ Consider</v>
      </c>
      <c r="K31" s="325" t="s">
        <v>1150</v>
      </c>
    </row>
    <row r="33" spans="1:11" ht="24" customHeight="1" x14ac:dyDescent="0.35">
      <c r="A33" s="390" t="s">
        <v>1224</v>
      </c>
      <c r="B33" s="390"/>
      <c r="C33" s="390"/>
      <c r="D33" s="390"/>
      <c r="E33" s="390"/>
      <c r="F33" s="390"/>
      <c r="G33" s="390"/>
      <c r="H33" s="390"/>
      <c r="I33" s="390"/>
      <c r="J33" s="390"/>
      <c r="K33" s="390"/>
    </row>
    <row r="34" spans="1:11" ht="36" customHeight="1" x14ac:dyDescent="0.35">
      <c r="A34" s="8" t="s">
        <v>1225</v>
      </c>
      <c r="B34" s="8"/>
      <c r="C34" s="8"/>
      <c r="D34" s="475" t="s">
        <v>1226</v>
      </c>
      <c r="E34" s="475"/>
      <c r="F34" s="475"/>
      <c r="G34" s="475"/>
      <c r="H34" s="475"/>
      <c r="I34" s="475"/>
      <c r="J34" s="475"/>
      <c r="K34" s="475"/>
    </row>
    <row r="35" spans="1:11" ht="36" customHeight="1" x14ac:dyDescent="0.35">
      <c r="A35" s="10" t="s">
        <v>1227</v>
      </c>
      <c r="B35" s="10"/>
      <c r="C35" s="10"/>
      <c r="D35" s="476" t="s">
        <v>1228</v>
      </c>
      <c r="E35" s="476"/>
      <c r="F35" s="476"/>
      <c r="G35" s="476"/>
      <c r="H35" s="476"/>
      <c r="I35" s="476"/>
      <c r="J35" s="476"/>
      <c r="K35" s="476"/>
    </row>
    <row r="36" spans="1:11" ht="36" customHeight="1" x14ac:dyDescent="0.35">
      <c r="A36" s="7" t="s">
        <v>1229</v>
      </c>
      <c r="B36" s="7"/>
      <c r="C36" s="7"/>
      <c r="D36" s="477" t="s">
        <v>1230</v>
      </c>
      <c r="E36" s="477"/>
      <c r="F36" s="477"/>
      <c r="G36" s="477"/>
      <c r="H36" s="477"/>
      <c r="I36" s="477"/>
      <c r="J36" s="477"/>
      <c r="K36" s="477"/>
    </row>
    <row r="37" spans="1:11" ht="36" customHeight="1" x14ac:dyDescent="0.35">
      <c r="A37" s="6" t="s">
        <v>1231</v>
      </c>
      <c r="B37" s="6"/>
      <c r="C37" s="6"/>
      <c r="D37" s="478" t="s">
        <v>1232</v>
      </c>
      <c r="E37" s="478"/>
      <c r="F37" s="478"/>
      <c r="G37" s="478"/>
      <c r="H37" s="478"/>
      <c r="I37" s="478"/>
      <c r="J37" s="478"/>
      <c r="K37" s="478"/>
    </row>
    <row r="38" spans="1:11" ht="36" customHeight="1" x14ac:dyDescent="0.35">
      <c r="A38" s="12" t="s">
        <v>1233</v>
      </c>
      <c r="B38" s="12"/>
      <c r="C38" s="12"/>
      <c r="D38" s="479" t="s">
        <v>1234</v>
      </c>
      <c r="E38" s="479"/>
      <c r="F38" s="479"/>
      <c r="G38" s="479"/>
      <c r="H38" s="479"/>
      <c r="I38" s="479"/>
      <c r="J38" s="479"/>
      <c r="K38" s="479"/>
    </row>
    <row r="39" spans="1:11" ht="36" customHeight="1" x14ac:dyDescent="0.35">
      <c r="A39" s="4" t="s">
        <v>1235</v>
      </c>
      <c r="B39" s="4"/>
      <c r="C39" s="4"/>
      <c r="D39" s="480" t="s">
        <v>1236</v>
      </c>
      <c r="E39" s="480"/>
      <c r="F39" s="480"/>
      <c r="G39" s="480"/>
      <c r="H39" s="480"/>
      <c r="I39" s="480"/>
      <c r="J39" s="480"/>
      <c r="K39" s="480"/>
    </row>
  </sheetData>
  <mergeCells count="22">
    <mergeCell ref="A37:C37"/>
    <mergeCell ref="D37:K37"/>
    <mergeCell ref="A38:C38"/>
    <mergeCell ref="D38:K38"/>
    <mergeCell ref="A39:C39"/>
    <mergeCell ref="D39:K39"/>
    <mergeCell ref="A34:C34"/>
    <mergeCell ref="D34:K34"/>
    <mergeCell ref="A35:C35"/>
    <mergeCell ref="D35:K35"/>
    <mergeCell ref="A36:C36"/>
    <mergeCell ref="D36:K36"/>
    <mergeCell ref="A13:K13"/>
    <mergeCell ref="A18:K18"/>
    <mergeCell ref="A23:K23"/>
    <mergeCell ref="A28:K28"/>
    <mergeCell ref="A33:K33"/>
    <mergeCell ref="A1:K1"/>
    <mergeCell ref="A2:K2"/>
    <mergeCell ref="A4:K4"/>
    <mergeCell ref="A6:K6"/>
    <mergeCell ref="A7:K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M33"/>
  <sheetViews>
    <sheetView showGridLines="0" topLeftCell="A4" zoomScaleNormal="100" workbookViewId="0">
      <selection sqref="A1:L1"/>
    </sheetView>
  </sheetViews>
  <sheetFormatPr defaultColWidth="8.6328125" defaultRowHeight="14.5" x14ac:dyDescent="0.35"/>
  <cols>
    <col min="1" max="1" width="3" customWidth="1"/>
    <col min="2" max="2" width="22" customWidth="1"/>
    <col min="3" max="11" width="14" customWidth="1"/>
    <col min="12" max="12" width="4" customWidth="1"/>
  </cols>
  <sheetData>
    <row r="1" spans="1:13" ht="36" customHeight="1" x14ac:dyDescent="0.35">
      <c r="A1" s="386" t="s">
        <v>1237</v>
      </c>
      <c r="B1" s="386"/>
      <c r="C1" s="386"/>
      <c r="D1" s="386"/>
      <c r="E1" s="386"/>
      <c r="F1" s="386"/>
      <c r="G1" s="386"/>
      <c r="H1" s="386"/>
      <c r="I1" s="386"/>
      <c r="J1" s="386"/>
      <c r="K1" s="386"/>
      <c r="L1" s="386"/>
    </row>
    <row r="2" spans="1:13" ht="19.5" customHeight="1" x14ac:dyDescent="0.35">
      <c r="A2" s="1" t="s">
        <v>1238</v>
      </c>
      <c r="B2" s="1"/>
      <c r="C2" s="1"/>
      <c r="D2" s="1"/>
      <c r="E2" s="1"/>
      <c r="F2" s="1"/>
      <c r="G2" s="1"/>
      <c r="H2" s="1"/>
      <c r="I2" s="1"/>
      <c r="J2" s="1"/>
      <c r="K2" s="1"/>
      <c r="L2" s="1"/>
    </row>
    <row r="4" spans="1:13" ht="24" customHeight="1" x14ac:dyDescent="0.35">
      <c r="A4" s="481" t="s">
        <v>1239</v>
      </c>
      <c r="B4" s="481"/>
      <c r="C4" s="481"/>
      <c r="D4" s="481"/>
      <c r="E4" s="481"/>
      <c r="F4" s="481"/>
      <c r="G4" s="481"/>
      <c r="H4" s="481"/>
      <c r="I4" s="481"/>
      <c r="J4" s="481"/>
      <c r="K4" s="481"/>
      <c r="L4" s="481"/>
    </row>
    <row r="5" spans="1:13" ht="27.75" customHeight="1" x14ac:dyDescent="0.35">
      <c r="B5" s="458" t="s">
        <v>1240</v>
      </c>
      <c r="C5" s="458"/>
      <c r="D5" s="482" t="s">
        <v>1241</v>
      </c>
      <c r="E5" s="482"/>
      <c r="F5" s="460" t="s">
        <v>1242</v>
      </c>
      <c r="G5" s="460"/>
      <c r="H5" s="456" t="s">
        <v>1243</v>
      </c>
      <c r="I5" s="456"/>
      <c r="J5" s="461" t="s">
        <v>1244</v>
      </c>
      <c r="K5" s="461"/>
      <c r="L5" s="459" t="s">
        <v>1245</v>
      </c>
      <c r="M5" s="459"/>
    </row>
    <row r="6" spans="1:13" ht="37.5" customHeight="1" x14ac:dyDescent="0.35">
      <c r="B6" s="483" t="s">
        <v>1246</v>
      </c>
      <c r="C6" s="483"/>
      <c r="D6" s="484" t="s">
        <v>1247</v>
      </c>
      <c r="E6" s="484"/>
      <c r="F6" s="485" t="s">
        <v>1248</v>
      </c>
      <c r="G6" s="485"/>
      <c r="H6" s="486" t="s">
        <v>1249</v>
      </c>
      <c r="I6" s="486"/>
      <c r="J6" s="487" t="s">
        <v>1250</v>
      </c>
      <c r="K6" s="487"/>
      <c r="L6" s="488" t="s">
        <v>1251</v>
      </c>
      <c r="M6" s="488"/>
    </row>
    <row r="7" spans="1:13" ht="18" customHeight="1" x14ac:dyDescent="0.35">
      <c r="B7" s="489" t="s">
        <v>1252</v>
      </c>
      <c r="C7" s="489"/>
      <c r="D7" s="489" t="s">
        <v>1252</v>
      </c>
      <c r="E7" s="489"/>
      <c r="F7" s="489" t="s">
        <v>1253</v>
      </c>
      <c r="G7" s="489"/>
      <c r="H7" s="489" t="s">
        <v>1254</v>
      </c>
      <c r="I7" s="489"/>
      <c r="J7" s="489" t="s">
        <v>1255</v>
      </c>
      <c r="K7" s="489"/>
      <c r="L7" s="489" t="s">
        <v>1254</v>
      </c>
      <c r="M7" s="489"/>
    </row>
    <row r="9" spans="1:13" ht="24" customHeight="1" x14ac:dyDescent="0.35">
      <c r="A9" s="390" t="s">
        <v>1256</v>
      </c>
      <c r="B9" s="390"/>
      <c r="C9" s="390"/>
      <c r="D9" s="390"/>
      <c r="E9" s="390"/>
      <c r="F9" s="390"/>
      <c r="G9" s="390"/>
      <c r="H9" s="390"/>
      <c r="I9" s="390"/>
      <c r="J9" s="390"/>
      <c r="K9" s="390"/>
      <c r="L9" s="390"/>
    </row>
    <row r="10" spans="1:13" ht="36" customHeight="1" x14ac:dyDescent="0.35">
      <c r="A10" s="94" t="s">
        <v>180</v>
      </c>
      <c r="B10" s="94" t="s">
        <v>1257</v>
      </c>
      <c r="C10" s="94" t="s">
        <v>1258</v>
      </c>
      <c r="D10" s="94" t="s">
        <v>1259</v>
      </c>
      <c r="E10" s="94" t="s">
        <v>191</v>
      </c>
      <c r="F10" s="94" t="s">
        <v>1260</v>
      </c>
      <c r="G10" s="94" t="s">
        <v>269</v>
      </c>
      <c r="H10" s="94" t="s">
        <v>1261</v>
      </c>
      <c r="I10" s="94" t="s">
        <v>1262</v>
      </c>
      <c r="J10" s="94" t="s">
        <v>1263</v>
      </c>
      <c r="K10" s="94" t="s">
        <v>869</v>
      </c>
      <c r="L10" s="94" t="s">
        <v>1264</v>
      </c>
    </row>
    <row r="11" spans="1:13" ht="39.75" customHeight="1" x14ac:dyDescent="0.35">
      <c r="A11" s="39" t="s">
        <v>271</v>
      </c>
      <c r="B11" s="114" t="s">
        <v>193</v>
      </c>
      <c r="C11" s="76" t="s">
        <v>1265</v>
      </c>
      <c r="D11" s="76" t="s">
        <v>1266</v>
      </c>
      <c r="E11" s="73" t="s">
        <v>1267</v>
      </c>
      <c r="F11" s="270">
        <v>0.45</v>
      </c>
      <c r="G11" s="72" t="s">
        <v>1268</v>
      </c>
      <c r="H11" s="72" t="s">
        <v>1269</v>
      </c>
      <c r="I11" s="73" t="s">
        <v>1270</v>
      </c>
      <c r="J11" s="73" t="s">
        <v>1271</v>
      </c>
      <c r="K11" s="76" t="s">
        <v>885</v>
      </c>
      <c r="L11" s="76" t="s">
        <v>1272</v>
      </c>
    </row>
    <row r="12" spans="1:13" ht="39.75" customHeight="1" x14ac:dyDescent="0.35">
      <c r="A12" s="55" t="s">
        <v>273</v>
      </c>
      <c r="B12" s="119" t="s">
        <v>1273</v>
      </c>
      <c r="C12" s="81" t="s">
        <v>1266</v>
      </c>
      <c r="D12" s="81" t="s">
        <v>1274</v>
      </c>
      <c r="E12" s="73" t="s">
        <v>199</v>
      </c>
      <c r="F12" s="270">
        <v>0</v>
      </c>
      <c r="G12" s="78" t="s">
        <v>1275</v>
      </c>
      <c r="H12" s="78" t="s">
        <v>1276</v>
      </c>
      <c r="I12" s="73" t="s">
        <v>1277</v>
      </c>
      <c r="J12" s="73" t="s">
        <v>1278</v>
      </c>
      <c r="K12" s="81" t="s">
        <v>1062</v>
      </c>
      <c r="L12" s="81" t="s">
        <v>1266</v>
      </c>
    </row>
    <row r="13" spans="1:13" ht="39.75" customHeight="1" x14ac:dyDescent="0.35">
      <c r="A13" s="59" t="s">
        <v>275</v>
      </c>
      <c r="B13" s="123" t="s">
        <v>207</v>
      </c>
      <c r="C13" s="86" t="s">
        <v>1274</v>
      </c>
      <c r="D13" s="86" t="s">
        <v>1279</v>
      </c>
      <c r="E13" s="73" t="s">
        <v>199</v>
      </c>
      <c r="F13" s="270">
        <v>0</v>
      </c>
      <c r="G13" s="83" t="s">
        <v>1280</v>
      </c>
      <c r="H13" s="83" t="s">
        <v>1281</v>
      </c>
      <c r="I13" s="73" t="s">
        <v>1277</v>
      </c>
      <c r="J13" s="73" t="s">
        <v>1282</v>
      </c>
      <c r="K13" s="86" t="s">
        <v>1283</v>
      </c>
      <c r="L13" s="86" t="s">
        <v>1284</v>
      </c>
    </row>
    <row r="14" spans="1:13" ht="39.75" customHeight="1" x14ac:dyDescent="0.35">
      <c r="A14" s="63" t="s">
        <v>277</v>
      </c>
      <c r="B14" s="127" t="s">
        <v>213</v>
      </c>
      <c r="C14" s="91" t="s">
        <v>1279</v>
      </c>
      <c r="D14" s="91" t="s">
        <v>1285</v>
      </c>
      <c r="E14" s="73" t="s">
        <v>199</v>
      </c>
      <c r="F14" s="270">
        <v>0</v>
      </c>
      <c r="G14" s="88" t="s">
        <v>1286</v>
      </c>
      <c r="H14" s="88" t="s">
        <v>1287</v>
      </c>
      <c r="I14" s="73" t="s">
        <v>1277</v>
      </c>
      <c r="J14" s="73" t="s">
        <v>1288</v>
      </c>
      <c r="K14" s="91" t="s">
        <v>1289</v>
      </c>
      <c r="L14" s="91" t="s">
        <v>1279</v>
      </c>
    </row>
    <row r="16" spans="1:13" ht="24" customHeight="1" x14ac:dyDescent="0.35">
      <c r="A16" s="400" t="s">
        <v>1290</v>
      </c>
      <c r="B16" s="400"/>
      <c r="C16" s="400"/>
      <c r="D16" s="400"/>
      <c r="E16" s="400"/>
      <c r="F16" s="400"/>
      <c r="G16" s="400"/>
      <c r="H16" s="400"/>
      <c r="I16" s="400"/>
      <c r="J16" s="400"/>
      <c r="K16" s="400"/>
      <c r="L16" s="400"/>
    </row>
    <row r="17" spans="1:12" ht="36" customHeight="1" x14ac:dyDescent="0.35">
      <c r="A17" s="113" t="s">
        <v>751</v>
      </c>
      <c r="B17" s="113" t="s">
        <v>753</v>
      </c>
      <c r="C17" s="113" t="s">
        <v>1291</v>
      </c>
      <c r="D17" s="113" t="s">
        <v>1292</v>
      </c>
      <c r="E17" s="113" t="s">
        <v>801</v>
      </c>
      <c r="F17" s="113" t="s">
        <v>191</v>
      </c>
      <c r="G17" s="113" t="s">
        <v>1293</v>
      </c>
      <c r="H17" s="113" t="s">
        <v>1294</v>
      </c>
      <c r="I17" s="458" t="s">
        <v>852</v>
      </c>
      <c r="J17" s="458"/>
      <c r="K17" s="458"/>
      <c r="L17" s="458"/>
    </row>
    <row r="18" spans="1:12" ht="21.75" customHeight="1" x14ac:dyDescent="0.35">
      <c r="A18" s="41" t="s">
        <v>1295</v>
      </c>
      <c r="B18" s="53" t="s">
        <v>1296</v>
      </c>
      <c r="C18" s="73" t="s">
        <v>1297</v>
      </c>
      <c r="D18" s="197" t="s">
        <v>1298</v>
      </c>
      <c r="E18" s="326" t="s">
        <v>1299</v>
      </c>
      <c r="F18" s="146" t="s">
        <v>1300</v>
      </c>
      <c r="G18" s="270">
        <v>0.15</v>
      </c>
      <c r="H18" s="327">
        <v>0.8</v>
      </c>
      <c r="I18" s="432" t="s">
        <v>1301</v>
      </c>
      <c r="J18" s="432"/>
      <c r="K18" s="432"/>
      <c r="L18" s="432"/>
    </row>
    <row r="19" spans="1:12" ht="21.75" customHeight="1" x14ac:dyDescent="0.35">
      <c r="A19" s="51" t="s">
        <v>1302</v>
      </c>
      <c r="B19" s="49" t="s">
        <v>1303</v>
      </c>
      <c r="C19" s="73" t="s">
        <v>1304</v>
      </c>
      <c r="D19" s="199" t="s">
        <v>1305</v>
      </c>
      <c r="E19" s="328" t="s">
        <v>1299</v>
      </c>
      <c r="F19" s="150" t="s">
        <v>1306</v>
      </c>
      <c r="G19" s="270">
        <v>0.2</v>
      </c>
      <c r="H19" s="329">
        <v>0.8</v>
      </c>
      <c r="I19" s="433" t="s">
        <v>1301</v>
      </c>
      <c r="J19" s="433"/>
      <c r="K19" s="433"/>
      <c r="L19" s="433"/>
    </row>
    <row r="20" spans="1:12" ht="21.75" customHeight="1" x14ac:dyDescent="0.35">
      <c r="A20" s="41" t="s">
        <v>1307</v>
      </c>
      <c r="B20" s="53" t="s">
        <v>1308</v>
      </c>
      <c r="C20" s="73" t="s">
        <v>1309</v>
      </c>
      <c r="D20" s="197" t="s">
        <v>1310</v>
      </c>
      <c r="E20" s="326" t="s">
        <v>1299</v>
      </c>
      <c r="F20" s="150" t="s">
        <v>1306</v>
      </c>
      <c r="G20" s="270">
        <v>0.2</v>
      </c>
      <c r="H20" s="329">
        <v>0.8</v>
      </c>
      <c r="I20" s="432" t="s">
        <v>1301</v>
      </c>
      <c r="J20" s="432"/>
      <c r="K20" s="432"/>
      <c r="L20" s="432"/>
    </row>
    <row r="21" spans="1:12" ht="21.75" customHeight="1" x14ac:dyDescent="0.35">
      <c r="A21" s="51" t="s">
        <v>1311</v>
      </c>
      <c r="B21" s="49" t="s">
        <v>1312</v>
      </c>
      <c r="C21" s="73" t="s">
        <v>1313</v>
      </c>
      <c r="D21" s="199" t="s">
        <v>1314</v>
      </c>
      <c r="E21" s="330" t="s">
        <v>1315</v>
      </c>
      <c r="F21" s="150" t="s">
        <v>1306</v>
      </c>
      <c r="G21" s="270">
        <v>0.15</v>
      </c>
      <c r="H21" s="329">
        <v>0.8</v>
      </c>
      <c r="I21" s="433" t="s">
        <v>1301</v>
      </c>
      <c r="J21" s="433"/>
      <c r="K21" s="433"/>
      <c r="L21" s="433"/>
    </row>
    <row r="22" spans="1:12" ht="21.75" customHeight="1" x14ac:dyDescent="0.35">
      <c r="A22" s="41" t="s">
        <v>1316</v>
      </c>
      <c r="B22" s="53" t="s">
        <v>1317</v>
      </c>
      <c r="C22" s="73" t="s">
        <v>1318</v>
      </c>
      <c r="D22" s="197" t="s">
        <v>1319</v>
      </c>
      <c r="E22" s="326" t="s">
        <v>1299</v>
      </c>
      <c r="F22" s="150" t="s">
        <v>1306</v>
      </c>
      <c r="G22" s="270">
        <v>0.1</v>
      </c>
      <c r="H22" s="329">
        <v>0.8</v>
      </c>
      <c r="I22" s="432" t="s">
        <v>1301</v>
      </c>
      <c r="J22" s="432"/>
      <c r="K22" s="432"/>
      <c r="L22" s="432"/>
    </row>
    <row r="23" spans="1:12" ht="21.75" customHeight="1" x14ac:dyDescent="0.35">
      <c r="A23" s="51" t="s">
        <v>1320</v>
      </c>
      <c r="B23" s="49" t="s">
        <v>1321</v>
      </c>
      <c r="C23" s="73" t="s">
        <v>1322</v>
      </c>
      <c r="D23" s="199" t="s">
        <v>1323</v>
      </c>
      <c r="E23" s="328" t="s">
        <v>1299</v>
      </c>
      <c r="F23" s="150" t="s">
        <v>1306</v>
      </c>
      <c r="G23" s="270">
        <v>0.1</v>
      </c>
      <c r="H23" s="329">
        <v>0.8</v>
      </c>
      <c r="I23" s="433" t="s">
        <v>1301</v>
      </c>
      <c r="J23" s="433"/>
      <c r="K23" s="433"/>
      <c r="L23" s="433"/>
    </row>
    <row r="24" spans="1:12" ht="21.75" customHeight="1" x14ac:dyDescent="0.35">
      <c r="A24" s="41" t="s">
        <v>1324</v>
      </c>
      <c r="B24" s="53" t="s">
        <v>1325</v>
      </c>
      <c r="C24" s="73" t="s">
        <v>1326</v>
      </c>
      <c r="D24" s="197" t="s">
        <v>1314</v>
      </c>
      <c r="E24" s="331" t="s">
        <v>1315</v>
      </c>
      <c r="F24" s="150" t="s">
        <v>1306</v>
      </c>
      <c r="G24" s="270">
        <v>0.05</v>
      </c>
      <c r="H24" s="329">
        <v>0.8</v>
      </c>
      <c r="I24" s="432" t="s">
        <v>1301</v>
      </c>
      <c r="J24" s="432"/>
      <c r="K24" s="432"/>
      <c r="L24" s="432"/>
    </row>
    <row r="25" spans="1:12" ht="21.75" customHeight="1" x14ac:dyDescent="0.35">
      <c r="A25" s="51" t="s">
        <v>1327</v>
      </c>
      <c r="B25" s="49" t="s">
        <v>1328</v>
      </c>
      <c r="C25" s="73" t="s">
        <v>1329</v>
      </c>
      <c r="D25" s="199" t="s">
        <v>1330</v>
      </c>
      <c r="E25" s="330" t="s">
        <v>1315</v>
      </c>
      <c r="F25" s="146" t="s">
        <v>1300</v>
      </c>
      <c r="G25" s="270">
        <v>0.05</v>
      </c>
      <c r="H25" s="327">
        <v>0.8</v>
      </c>
      <c r="I25" s="433" t="s">
        <v>1301</v>
      </c>
      <c r="J25" s="433"/>
      <c r="K25" s="433"/>
      <c r="L25" s="433"/>
    </row>
    <row r="27" spans="1:12" ht="24" customHeight="1" x14ac:dyDescent="0.35">
      <c r="A27" s="490" t="s">
        <v>1331</v>
      </c>
      <c r="B27" s="490"/>
      <c r="C27" s="490"/>
      <c r="D27" s="490"/>
      <c r="E27" s="490"/>
      <c r="F27" s="490"/>
      <c r="G27" s="490"/>
      <c r="H27" s="490"/>
      <c r="I27" s="490"/>
      <c r="J27" s="490"/>
      <c r="K27" s="490"/>
      <c r="L27" s="490"/>
    </row>
    <row r="28" spans="1:12" ht="27.75" customHeight="1" x14ac:dyDescent="0.35">
      <c r="A28" s="282" t="s">
        <v>1332</v>
      </c>
      <c r="B28" s="282" t="s">
        <v>698</v>
      </c>
      <c r="C28" s="282" t="s">
        <v>1333</v>
      </c>
      <c r="D28" s="282" t="s">
        <v>1038</v>
      </c>
      <c r="E28" s="282" t="s">
        <v>1334</v>
      </c>
      <c r="F28" s="282" t="s">
        <v>869</v>
      </c>
      <c r="G28" s="457" t="s">
        <v>1335</v>
      </c>
      <c r="H28" s="457"/>
      <c r="I28" s="457"/>
      <c r="J28" s="457"/>
      <c r="K28" s="457"/>
      <c r="L28" s="457"/>
    </row>
    <row r="29" spans="1:12" ht="31.5" customHeight="1" x14ac:dyDescent="0.35">
      <c r="A29" s="154" t="s">
        <v>1058</v>
      </c>
      <c r="B29" s="283" t="s">
        <v>1336</v>
      </c>
      <c r="C29" s="154" t="s">
        <v>1337</v>
      </c>
      <c r="D29" s="153" t="s">
        <v>1338</v>
      </c>
      <c r="E29" s="73" t="s">
        <v>1339</v>
      </c>
      <c r="F29" s="197" t="s">
        <v>1062</v>
      </c>
      <c r="G29" s="491" t="s">
        <v>1340</v>
      </c>
      <c r="H29" s="491"/>
      <c r="I29" s="491"/>
      <c r="J29" s="491"/>
      <c r="K29" s="491"/>
      <c r="L29" s="491"/>
    </row>
    <row r="30" spans="1:12" ht="31.5" customHeight="1" x14ac:dyDescent="0.35">
      <c r="A30" s="154" t="s">
        <v>1068</v>
      </c>
      <c r="B30" s="287" t="s">
        <v>1341</v>
      </c>
      <c r="C30" s="154" t="s">
        <v>1342</v>
      </c>
      <c r="D30" s="153" t="s">
        <v>1338</v>
      </c>
      <c r="E30" s="73" t="s">
        <v>1343</v>
      </c>
      <c r="F30" s="199" t="s">
        <v>1072</v>
      </c>
      <c r="G30" s="492" t="s">
        <v>1344</v>
      </c>
      <c r="H30" s="492"/>
      <c r="I30" s="492"/>
      <c r="J30" s="492"/>
      <c r="K30" s="492"/>
      <c r="L30" s="492"/>
    </row>
    <row r="31" spans="1:12" ht="31.5" customHeight="1" x14ac:dyDescent="0.35">
      <c r="A31" s="154" t="s">
        <v>1041</v>
      </c>
      <c r="B31" s="283" t="s">
        <v>1345</v>
      </c>
      <c r="C31" s="154" t="s">
        <v>1346</v>
      </c>
      <c r="D31" s="153" t="s">
        <v>1338</v>
      </c>
      <c r="E31" s="73" t="s">
        <v>1347</v>
      </c>
      <c r="F31" s="197" t="s">
        <v>1045</v>
      </c>
      <c r="G31" s="491" t="s">
        <v>1348</v>
      </c>
      <c r="H31" s="491"/>
      <c r="I31" s="491"/>
      <c r="J31" s="491"/>
      <c r="K31" s="491"/>
      <c r="L31" s="491"/>
    </row>
    <row r="32" spans="1:12" ht="31.5" customHeight="1" x14ac:dyDescent="0.35">
      <c r="A32" s="332" t="s">
        <v>1055</v>
      </c>
      <c r="B32" s="287" t="s">
        <v>1349</v>
      </c>
      <c r="C32" s="332" t="s">
        <v>839</v>
      </c>
      <c r="D32" s="333" t="s">
        <v>1350</v>
      </c>
      <c r="E32" s="73" t="s">
        <v>1351</v>
      </c>
      <c r="F32" s="199" t="s">
        <v>891</v>
      </c>
      <c r="G32" s="492" t="s">
        <v>1352</v>
      </c>
      <c r="H32" s="492"/>
      <c r="I32" s="492"/>
      <c r="J32" s="492"/>
      <c r="K32" s="492"/>
      <c r="L32" s="492"/>
    </row>
    <row r="33" spans="1:12" ht="31.5" customHeight="1" x14ac:dyDescent="0.35">
      <c r="A33" s="332" t="s">
        <v>1082</v>
      </c>
      <c r="B33" s="283" t="s">
        <v>1353</v>
      </c>
      <c r="C33" s="332" t="s">
        <v>839</v>
      </c>
      <c r="D33" s="333" t="s">
        <v>1350</v>
      </c>
      <c r="E33" s="73" t="s">
        <v>1354</v>
      </c>
      <c r="F33" s="197" t="s">
        <v>1085</v>
      </c>
      <c r="G33" s="491" t="s">
        <v>1355</v>
      </c>
      <c r="H33" s="491"/>
      <c r="I33" s="491"/>
      <c r="J33" s="491"/>
      <c r="K33" s="491"/>
      <c r="L33" s="491"/>
    </row>
  </sheetData>
  <mergeCells count="39">
    <mergeCell ref="G31:L31"/>
    <mergeCell ref="G32:L32"/>
    <mergeCell ref="G33:L33"/>
    <mergeCell ref="I25:L25"/>
    <mergeCell ref="A27:L27"/>
    <mergeCell ref="G28:L28"/>
    <mergeCell ref="G29:L29"/>
    <mergeCell ref="G30:L30"/>
    <mergeCell ref="I20:L20"/>
    <mergeCell ref="I21:L21"/>
    <mergeCell ref="I22:L22"/>
    <mergeCell ref="I23:L23"/>
    <mergeCell ref="I24:L24"/>
    <mergeCell ref="A9:L9"/>
    <mergeCell ref="A16:L16"/>
    <mergeCell ref="I17:L17"/>
    <mergeCell ref="I18:L18"/>
    <mergeCell ref="I19:L19"/>
    <mergeCell ref="L6:M6"/>
    <mergeCell ref="B7:C7"/>
    <mergeCell ref="D7:E7"/>
    <mergeCell ref="F7:G7"/>
    <mergeCell ref="H7:I7"/>
    <mergeCell ref="J7:K7"/>
    <mergeCell ref="L7:M7"/>
    <mergeCell ref="B6:C6"/>
    <mergeCell ref="D6:E6"/>
    <mergeCell ref="F6:G6"/>
    <mergeCell ref="H6:I6"/>
    <mergeCell ref="J6:K6"/>
    <mergeCell ref="A1:L1"/>
    <mergeCell ref="A2:L2"/>
    <mergeCell ref="A4:L4"/>
    <mergeCell ref="B5:C5"/>
    <mergeCell ref="D5:E5"/>
    <mergeCell ref="F5:G5"/>
    <mergeCell ref="H5:I5"/>
    <mergeCell ref="J5:K5"/>
    <mergeCell ref="L5:M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5C6B"/>
  </sheetPr>
  <dimension ref="A1:R67"/>
  <sheetViews>
    <sheetView showGridLines="0" zoomScaleNormal="100" workbookViewId="0">
      <pane xSplit="2" ySplit="3" topLeftCell="C6" activePane="bottomRight" state="frozen"/>
      <selection pane="topRight" activeCell="C1" sqref="C1"/>
      <selection pane="bottomLeft" activeCell="A4" sqref="A4"/>
      <selection pane="bottomRight" sqref="A1:R1"/>
    </sheetView>
  </sheetViews>
  <sheetFormatPr defaultColWidth="8.6328125" defaultRowHeight="14.5" x14ac:dyDescent="0.35"/>
  <cols>
    <col min="1" max="1" width="4" customWidth="1"/>
    <col min="2" max="2" width="11" customWidth="1"/>
    <col min="3" max="3" width="18" customWidth="1"/>
    <col min="4" max="4" width="28" customWidth="1"/>
    <col min="5" max="5" width="32" customWidth="1"/>
    <col min="6" max="6" width="20" customWidth="1"/>
    <col min="7" max="7" width="24" customWidth="1"/>
    <col min="8" max="8" width="18" customWidth="1"/>
    <col min="9" max="9" width="12" customWidth="1"/>
    <col min="10" max="10" width="18" customWidth="1"/>
    <col min="11" max="12" width="20" customWidth="1"/>
    <col min="13" max="13" width="14" customWidth="1"/>
    <col min="14" max="14" width="16" customWidth="1"/>
    <col min="15" max="15" width="22" customWidth="1"/>
    <col min="16" max="16" width="18" customWidth="1"/>
    <col min="17" max="18" width="4" customWidth="1"/>
  </cols>
  <sheetData>
    <row r="1" spans="1:18" ht="37.5" customHeight="1" x14ac:dyDescent="0.35">
      <c r="A1" s="493" t="s">
        <v>1356</v>
      </c>
      <c r="B1" s="493"/>
      <c r="C1" s="493"/>
      <c r="D1" s="493"/>
      <c r="E1" s="493"/>
      <c r="F1" s="493"/>
      <c r="G1" s="493"/>
      <c r="H1" s="493"/>
      <c r="I1" s="493"/>
      <c r="J1" s="493"/>
      <c r="K1" s="493"/>
      <c r="L1" s="493"/>
      <c r="M1" s="493"/>
      <c r="N1" s="493"/>
      <c r="O1" s="493"/>
      <c r="P1" s="493"/>
      <c r="Q1" s="493"/>
      <c r="R1" s="493"/>
    </row>
    <row r="2" spans="1:18" ht="19.5" customHeight="1" x14ac:dyDescent="0.35">
      <c r="A2" s="494" t="s">
        <v>1357</v>
      </c>
      <c r="B2" s="494"/>
      <c r="C2" s="494"/>
      <c r="D2" s="494"/>
      <c r="E2" s="494"/>
      <c r="F2" s="494"/>
      <c r="G2" s="494"/>
      <c r="H2" s="494"/>
      <c r="I2" s="494"/>
      <c r="J2" s="494"/>
      <c r="K2" s="494"/>
      <c r="L2" s="494"/>
      <c r="M2" s="494"/>
      <c r="N2" s="494"/>
      <c r="O2" s="494"/>
      <c r="P2" s="494"/>
      <c r="Q2" s="494"/>
      <c r="R2" s="494"/>
    </row>
    <row r="3" spans="1:18" ht="39.75" customHeight="1" x14ac:dyDescent="0.35">
      <c r="A3" s="334" t="s">
        <v>1358</v>
      </c>
      <c r="B3" s="334" t="s">
        <v>180</v>
      </c>
      <c r="C3" s="334" t="s">
        <v>1359</v>
      </c>
      <c r="D3" s="32" t="s">
        <v>1360</v>
      </c>
      <c r="E3" s="32" t="s">
        <v>1361</v>
      </c>
      <c r="F3" s="38" t="s">
        <v>1362</v>
      </c>
      <c r="G3" s="38" t="s">
        <v>1363</v>
      </c>
      <c r="H3" s="335" t="s">
        <v>1364</v>
      </c>
      <c r="I3" s="335" t="s">
        <v>1365</v>
      </c>
      <c r="J3" s="336" t="s">
        <v>1366</v>
      </c>
      <c r="K3" s="337" t="s">
        <v>1367</v>
      </c>
      <c r="L3" s="337" t="s">
        <v>1368</v>
      </c>
      <c r="M3" s="338" t="s">
        <v>1369</v>
      </c>
      <c r="N3" s="339" t="s">
        <v>1370</v>
      </c>
      <c r="O3" s="338" t="s">
        <v>1371</v>
      </c>
      <c r="P3" s="339" t="s">
        <v>1372</v>
      </c>
    </row>
    <row r="4" spans="1:18" ht="27.75" customHeight="1" x14ac:dyDescent="0.35">
      <c r="A4" s="495" t="s">
        <v>1373</v>
      </c>
      <c r="B4" s="495"/>
      <c r="C4" s="495"/>
      <c r="D4" s="495"/>
      <c r="E4" s="495"/>
      <c r="F4" s="495"/>
      <c r="G4" s="495"/>
      <c r="H4" s="495"/>
      <c r="I4" s="495"/>
      <c r="J4" s="495"/>
      <c r="K4" s="495"/>
      <c r="L4" s="495"/>
      <c r="M4" s="495"/>
      <c r="N4" s="495"/>
      <c r="O4" s="495"/>
      <c r="P4" s="495"/>
    </row>
    <row r="5" spans="1:18" ht="109.5" customHeight="1" x14ac:dyDescent="0.35">
      <c r="A5" s="340" t="s">
        <v>465</v>
      </c>
      <c r="B5" s="341" t="s">
        <v>1374</v>
      </c>
      <c r="C5" s="342" t="s">
        <v>1375</v>
      </c>
      <c r="D5" s="343" t="s">
        <v>1376</v>
      </c>
      <c r="E5" s="211" t="s">
        <v>1377</v>
      </c>
      <c r="F5" s="344" t="s">
        <v>1378</v>
      </c>
      <c r="G5" s="345" t="s">
        <v>1379</v>
      </c>
      <c r="H5" s="346" t="s">
        <v>1380</v>
      </c>
      <c r="I5" s="347" t="s">
        <v>1381</v>
      </c>
      <c r="J5" s="348" t="s">
        <v>1382</v>
      </c>
      <c r="K5" s="43" t="s">
        <v>1383</v>
      </c>
      <c r="L5" s="45" t="s">
        <v>1384</v>
      </c>
      <c r="M5" s="349" t="s">
        <v>1385</v>
      </c>
      <c r="N5" s="210" t="s">
        <v>1386</v>
      </c>
      <c r="O5" s="42" t="s">
        <v>1387</v>
      </c>
      <c r="P5" s="210" t="s">
        <v>1388</v>
      </c>
    </row>
    <row r="6" spans="1:18" ht="109.5" customHeight="1" x14ac:dyDescent="0.35">
      <c r="A6" s="340" t="s">
        <v>465</v>
      </c>
      <c r="B6" s="341" t="s">
        <v>1374</v>
      </c>
      <c r="C6" s="342" t="s">
        <v>1389</v>
      </c>
      <c r="D6" s="343" t="s">
        <v>1390</v>
      </c>
      <c r="E6" s="209" t="s">
        <v>1391</v>
      </c>
      <c r="F6" s="344" t="s">
        <v>1392</v>
      </c>
      <c r="G6" s="345" t="s">
        <v>1393</v>
      </c>
      <c r="H6" s="346" t="s">
        <v>1394</v>
      </c>
      <c r="I6" s="347" t="s">
        <v>1395</v>
      </c>
      <c r="J6" s="348" t="s">
        <v>1396</v>
      </c>
      <c r="K6" s="43" t="s">
        <v>1397</v>
      </c>
      <c r="L6" s="45" t="s">
        <v>1398</v>
      </c>
      <c r="M6" s="349" t="s">
        <v>1399</v>
      </c>
      <c r="N6" s="210" t="s">
        <v>1400</v>
      </c>
      <c r="O6" s="42" t="s">
        <v>1401</v>
      </c>
      <c r="P6" s="210" t="s">
        <v>1402</v>
      </c>
    </row>
    <row r="7" spans="1:18" ht="109.5" customHeight="1" x14ac:dyDescent="0.35">
      <c r="A7" s="340" t="s">
        <v>465</v>
      </c>
      <c r="B7" s="341" t="s">
        <v>1374</v>
      </c>
      <c r="C7" s="342" t="s">
        <v>1403</v>
      </c>
      <c r="D7" s="343" t="s">
        <v>1404</v>
      </c>
      <c r="E7" s="211" t="s">
        <v>1405</v>
      </c>
      <c r="F7" s="344" t="s">
        <v>1406</v>
      </c>
      <c r="G7" s="345" t="s">
        <v>1407</v>
      </c>
      <c r="H7" s="346" t="s">
        <v>1408</v>
      </c>
      <c r="I7" s="347" t="s">
        <v>1409</v>
      </c>
      <c r="J7" s="348" t="s">
        <v>1410</v>
      </c>
      <c r="K7" s="43" t="s">
        <v>1411</v>
      </c>
      <c r="L7" s="45" t="s">
        <v>1412</v>
      </c>
      <c r="M7" s="349" t="s">
        <v>1413</v>
      </c>
      <c r="N7" s="210" t="s">
        <v>1414</v>
      </c>
      <c r="O7" s="42" t="s">
        <v>1415</v>
      </c>
      <c r="P7" s="210" t="s">
        <v>1416</v>
      </c>
    </row>
    <row r="8" spans="1:18" ht="109.5" customHeight="1" x14ac:dyDescent="0.35">
      <c r="A8" s="340" t="s">
        <v>465</v>
      </c>
      <c r="B8" s="341" t="s">
        <v>1374</v>
      </c>
      <c r="C8" s="342" t="s">
        <v>1417</v>
      </c>
      <c r="D8" s="343" t="s">
        <v>1418</v>
      </c>
      <c r="E8" s="209" t="s">
        <v>1419</v>
      </c>
      <c r="F8" s="344" t="s">
        <v>1420</v>
      </c>
      <c r="G8" s="345" t="s">
        <v>1421</v>
      </c>
      <c r="H8" s="346" t="s">
        <v>1422</v>
      </c>
      <c r="I8" s="347" t="s">
        <v>1409</v>
      </c>
      <c r="J8" s="348" t="s">
        <v>1423</v>
      </c>
      <c r="K8" s="43" t="s">
        <v>1424</v>
      </c>
      <c r="L8" s="45" t="s">
        <v>1425</v>
      </c>
      <c r="M8" s="349" t="s">
        <v>1426</v>
      </c>
      <c r="N8" s="210" t="s">
        <v>1427</v>
      </c>
      <c r="O8" s="42" t="s">
        <v>1428</v>
      </c>
      <c r="P8" s="210" t="s">
        <v>1429</v>
      </c>
    </row>
    <row r="9" spans="1:18" ht="109.5" customHeight="1" x14ac:dyDescent="0.35">
      <c r="A9" s="340" t="s">
        <v>465</v>
      </c>
      <c r="B9" s="350" t="s">
        <v>1430</v>
      </c>
      <c r="C9" s="342" t="s">
        <v>1431</v>
      </c>
      <c r="D9" s="343" t="s">
        <v>1432</v>
      </c>
      <c r="E9" s="211" t="s">
        <v>1433</v>
      </c>
      <c r="F9" s="344" t="s">
        <v>1434</v>
      </c>
      <c r="G9" s="345" t="s">
        <v>1435</v>
      </c>
      <c r="H9" s="346" t="s">
        <v>1436</v>
      </c>
      <c r="I9" s="347" t="s">
        <v>1409</v>
      </c>
      <c r="J9" s="348" t="s">
        <v>1437</v>
      </c>
      <c r="K9" s="43" t="s">
        <v>1438</v>
      </c>
      <c r="L9" s="45" t="s">
        <v>1439</v>
      </c>
      <c r="M9" s="349" t="s">
        <v>1440</v>
      </c>
      <c r="N9" s="210" t="s">
        <v>1441</v>
      </c>
      <c r="O9" s="42" t="s">
        <v>1442</v>
      </c>
      <c r="P9" s="210" t="s">
        <v>1443</v>
      </c>
    </row>
    <row r="10" spans="1:18" ht="109.5" customHeight="1" x14ac:dyDescent="0.35">
      <c r="A10" s="340" t="s">
        <v>465</v>
      </c>
      <c r="B10" s="347" t="s">
        <v>1444</v>
      </c>
      <c r="C10" s="342" t="s">
        <v>1445</v>
      </c>
      <c r="D10" s="343" t="s">
        <v>1446</v>
      </c>
      <c r="E10" s="209" t="s">
        <v>1447</v>
      </c>
      <c r="F10" s="344" t="s">
        <v>1448</v>
      </c>
      <c r="G10" s="345" t="s">
        <v>1449</v>
      </c>
      <c r="H10" s="346" t="s">
        <v>1450</v>
      </c>
      <c r="I10" s="347" t="s">
        <v>1451</v>
      </c>
      <c r="J10" s="348" t="s">
        <v>1452</v>
      </c>
      <c r="K10" s="43" t="s">
        <v>1453</v>
      </c>
      <c r="L10" s="45" t="s">
        <v>1454</v>
      </c>
      <c r="M10" s="349" t="s">
        <v>1455</v>
      </c>
      <c r="N10" s="210" t="s">
        <v>1456</v>
      </c>
      <c r="O10" s="42" t="s">
        <v>1457</v>
      </c>
      <c r="P10" s="210" t="s">
        <v>1458</v>
      </c>
    </row>
    <row r="11" spans="1:18" ht="109.5" customHeight="1" x14ac:dyDescent="0.35">
      <c r="A11" s="340" t="s">
        <v>465</v>
      </c>
      <c r="B11" s="351" t="s">
        <v>1459</v>
      </c>
      <c r="C11" s="342" t="s">
        <v>1460</v>
      </c>
      <c r="D11" s="343" t="s">
        <v>1461</v>
      </c>
      <c r="E11" s="211" t="s">
        <v>1462</v>
      </c>
      <c r="F11" s="344" t="s">
        <v>1463</v>
      </c>
      <c r="G11" s="345" t="s">
        <v>1464</v>
      </c>
      <c r="H11" s="346" t="s">
        <v>1465</v>
      </c>
      <c r="I11" s="347" t="s">
        <v>1466</v>
      </c>
      <c r="J11" s="348" t="s">
        <v>1467</v>
      </c>
      <c r="K11" s="43" t="s">
        <v>1468</v>
      </c>
      <c r="L11" s="45" t="s">
        <v>1469</v>
      </c>
      <c r="M11" s="349" t="s">
        <v>1470</v>
      </c>
      <c r="N11" s="210" t="s">
        <v>1471</v>
      </c>
      <c r="O11" s="42" t="s">
        <v>1472</v>
      </c>
      <c r="P11" s="210" t="s">
        <v>1473</v>
      </c>
    </row>
    <row r="13" spans="1:18" ht="27.75" customHeight="1" x14ac:dyDescent="0.35">
      <c r="A13" s="496" t="s">
        <v>1474</v>
      </c>
      <c r="B13" s="496"/>
      <c r="C13" s="496"/>
      <c r="D13" s="496"/>
      <c r="E13" s="496"/>
      <c r="F13" s="496"/>
      <c r="G13" s="496"/>
      <c r="H13" s="496"/>
      <c r="I13" s="496"/>
      <c r="J13" s="496"/>
      <c r="K13" s="496"/>
      <c r="L13" s="496"/>
      <c r="M13" s="496"/>
      <c r="N13" s="496"/>
      <c r="O13" s="496"/>
      <c r="P13" s="496"/>
    </row>
    <row r="14" spans="1:18" ht="109.5" customHeight="1" x14ac:dyDescent="0.35">
      <c r="A14" s="352" t="s">
        <v>467</v>
      </c>
      <c r="B14" s="341" t="s">
        <v>1374</v>
      </c>
      <c r="C14" s="353" t="s">
        <v>1475</v>
      </c>
      <c r="D14" s="343" t="s">
        <v>1476</v>
      </c>
      <c r="E14" s="209" t="s">
        <v>1477</v>
      </c>
      <c r="F14" s="344" t="s">
        <v>1478</v>
      </c>
      <c r="G14" s="345" t="s">
        <v>1479</v>
      </c>
      <c r="H14" s="346" t="s">
        <v>1480</v>
      </c>
      <c r="I14" s="347" t="s">
        <v>1481</v>
      </c>
      <c r="J14" s="348" t="s">
        <v>1482</v>
      </c>
      <c r="K14" s="43" t="s">
        <v>1483</v>
      </c>
      <c r="L14" s="45" t="s">
        <v>1484</v>
      </c>
      <c r="M14" s="349" t="s">
        <v>1485</v>
      </c>
      <c r="N14" s="210" t="s">
        <v>1486</v>
      </c>
      <c r="O14" s="42" t="s">
        <v>1487</v>
      </c>
      <c r="P14" s="210" t="s">
        <v>1488</v>
      </c>
    </row>
    <row r="15" spans="1:18" ht="109.5" customHeight="1" x14ac:dyDescent="0.35">
      <c r="A15" s="352" t="s">
        <v>467</v>
      </c>
      <c r="B15" s="350" t="s">
        <v>1430</v>
      </c>
      <c r="C15" s="353" t="s">
        <v>1489</v>
      </c>
      <c r="D15" s="343" t="s">
        <v>1490</v>
      </c>
      <c r="E15" s="211" t="s">
        <v>1491</v>
      </c>
      <c r="F15" s="344" t="s">
        <v>1492</v>
      </c>
      <c r="G15" s="345" t="s">
        <v>1493</v>
      </c>
      <c r="H15" s="346" t="s">
        <v>1494</v>
      </c>
      <c r="I15" s="347" t="s">
        <v>1495</v>
      </c>
      <c r="J15" s="348" t="s">
        <v>1496</v>
      </c>
      <c r="K15" s="43" t="s">
        <v>1497</v>
      </c>
      <c r="L15" s="45" t="s">
        <v>1498</v>
      </c>
      <c r="M15" s="349" t="s">
        <v>1499</v>
      </c>
      <c r="N15" s="210" t="s">
        <v>1500</v>
      </c>
      <c r="O15" s="42" t="s">
        <v>1501</v>
      </c>
      <c r="P15" s="210" t="s">
        <v>1502</v>
      </c>
    </row>
    <row r="16" spans="1:18" ht="109.5" customHeight="1" x14ac:dyDescent="0.35">
      <c r="A16" s="352" t="s">
        <v>467</v>
      </c>
      <c r="B16" s="347" t="s">
        <v>1444</v>
      </c>
      <c r="C16" s="353" t="s">
        <v>1503</v>
      </c>
      <c r="D16" s="343" t="s">
        <v>1504</v>
      </c>
      <c r="E16" s="209" t="s">
        <v>1505</v>
      </c>
      <c r="F16" s="344" t="s">
        <v>1506</v>
      </c>
      <c r="G16" s="345" t="s">
        <v>1507</v>
      </c>
      <c r="H16" s="346" t="s">
        <v>1508</v>
      </c>
      <c r="I16" s="347" t="s">
        <v>1509</v>
      </c>
      <c r="J16" s="348" t="s">
        <v>1510</v>
      </c>
      <c r="K16" s="43" t="s">
        <v>1511</v>
      </c>
      <c r="L16" s="45" t="s">
        <v>1512</v>
      </c>
      <c r="M16" s="349" t="s">
        <v>1513</v>
      </c>
      <c r="N16" s="210" t="s">
        <v>1514</v>
      </c>
      <c r="O16" s="42" t="s">
        <v>1515</v>
      </c>
      <c r="P16" s="210" t="s">
        <v>1516</v>
      </c>
    </row>
    <row r="17" spans="1:16" ht="109.5" customHeight="1" x14ac:dyDescent="0.35">
      <c r="A17" s="352" t="s">
        <v>467</v>
      </c>
      <c r="B17" s="351" t="s">
        <v>1459</v>
      </c>
      <c r="C17" s="353" t="s">
        <v>1517</v>
      </c>
      <c r="D17" s="343" t="s">
        <v>1518</v>
      </c>
      <c r="E17" s="211" t="s">
        <v>1519</v>
      </c>
      <c r="F17" s="344" t="s">
        <v>1520</v>
      </c>
      <c r="G17" s="345" t="s">
        <v>1521</v>
      </c>
      <c r="H17" s="346" t="s">
        <v>1522</v>
      </c>
      <c r="I17" s="347" t="s">
        <v>1523</v>
      </c>
      <c r="J17" s="348" t="s">
        <v>1524</v>
      </c>
      <c r="K17" s="43" t="s">
        <v>1525</v>
      </c>
      <c r="L17" s="45" t="s">
        <v>1526</v>
      </c>
      <c r="M17" s="349" t="s">
        <v>1527</v>
      </c>
      <c r="N17" s="210" t="s">
        <v>1528</v>
      </c>
      <c r="O17" s="42" t="s">
        <v>1529</v>
      </c>
      <c r="P17" s="210" t="s">
        <v>1530</v>
      </c>
    </row>
    <row r="19" spans="1:16" ht="27.75" customHeight="1" x14ac:dyDescent="0.35">
      <c r="A19" s="497" t="s">
        <v>1531</v>
      </c>
      <c r="B19" s="497"/>
      <c r="C19" s="497"/>
      <c r="D19" s="497"/>
      <c r="E19" s="497"/>
      <c r="F19" s="497"/>
      <c r="G19" s="497"/>
      <c r="H19" s="497"/>
      <c r="I19" s="497"/>
      <c r="J19" s="497"/>
      <c r="K19" s="497"/>
      <c r="L19" s="497"/>
      <c r="M19" s="497"/>
      <c r="N19" s="497"/>
      <c r="O19" s="497"/>
      <c r="P19" s="497"/>
    </row>
    <row r="20" spans="1:16" ht="109.5" customHeight="1" x14ac:dyDescent="0.35">
      <c r="A20" s="354" t="s">
        <v>469</v>
      </c>
      <c r="B20" s="341" t="s">
        <v>1374</v>
      </c>
      <c r="C20" s="355" t="s">
        <v>1532</v>
      </c>
      <c r="D20" s="343" t="s">
        <v>1533</v>
      </c>
      <c r="E20" s="209" t="s">
        <v>1534</v>
      </c>
      <c r="F20" s="344" t="s">
        <v>1535</v>
      </c>
      <c r="G20" s="345" t="s">
        <v>1536</v>
      </c>
      <c r="H20" s="346" t="s">
        <v>1537</v>
      </c>
      <c r="I20" s="347" t="s">
        <v>1538</v>
      </c>
      <c r="J20" s="348" t="s">
        <v>1539</v>
      </c>
      <c r="K20" s="43" t="s">
        <v>1540</v>
      </c>
      <c r="L20" s="45" t="s">
        <v>1541</v>
      </c>
      <c r="M20" s="349" t="s">
        <v>1542</v>
      </c>
      <c r="N20" s="210" t="s">
        <v>1543</v>
      </c>
      <c r="O20" s="42" t="s">
        <v>1544</v>
      </c>
      <c r="P20" s="210" t="s">
        <v>1545</v>
      </c>
    </row>
    <row r="21" spans="1:16" ht="109.5" customHeight="1" x14ac:dyDescent="0.35">
      <c r="A21" s="354" t="s">
        <v>469</v>
      </c>
      <c r="B21" s="350" t="s">
        <v>1430</v>
      </c>
      <c r="C21" s="355" t="s">
        <v>1546</v>
      </c>
      <c r="D21" s="343" t="s">
        <v>1547</v>
      </c>
      <c r="E21" s="211" t="s">
        <v>1548</v>
      </c>
      <c r="F21" s="344" t="s">
        <v>1549</v>
      </c>
      <c r="G21" s="345" t="s">
        <v>1550</v>
      </c>
      <c r="H21" s="346" t="s">
        <v>1551</v>
      </c>
      <c r="I21" s="347" t="s">
        <v>1552</v>
      </c>
      <c r="J21" s="348" t="s">
        <v>1553</v>
      </c>
      <c r="K21" s="43" t="s">
        <v>1554</v>
      </c>
      <c r="L21" s="45" t="s">
        <v>1555</v>
      </c>
      <c r="M21" s="349" t="s">
        <v>1556</v>
      </c>
      <c r="N21" s="210" t="s">
        <v>1557</v>
      </c>
      <c r="O21" s="42" t="s">
        <v>1558</v>
      </c>
      <c r="P21" s="210" t="s">
        <v>1559</v>
      </c>
    </row>
    <row r="22" spans="1:16" ht="109.5" customHeight="1" x14ac:dyDescent="0.35">
      <c r="A22" s="354" t="s">
        <v>469</v>
      </c>
      <c r="B22" s="347" t="s">
        <v>1444</v>
      </c>
      <c r="C22" s="355" t="s">
        <v>1560</v>
      </c>
      <c r="D22" s="343" t="s">
        <v>1561</v>
      </c>
      <c r="E22" s="209" t="s">
        <v>1562</v>
      </c>
      <c r="F22" s="344" t="s">
        <v>1563</v>
      </c>
      <c r="G22" s="345" t="s">
        <v>1564</v>
      </c>
      <c r="H22" s="346" t="s">
        <v>1565</v>
      </c>
      <c r="I22" s="347" t="s">
        <v>1566</v>
      </c>
      <c r="J22" s="348" t="s">
        <v>1567</v>
      </c>
      <c r="K22" s="43" t="s">
        <v>1568</v>
      </c>
      <c r="L22" s="45" t="s">
        <v>1569</v>
      </c>
      <c r="M22" s="349" t="s">
        <v>1570</v>
      </c>
      <c r="N22" s="210" t="s">
        <v>1571</v>
      </c>
      <c r="O22" s="42" t="s">
        <v>1572</v>
      </c>
      <c r="P22" s="210" t="s">
        <v>1573</v>
      </c>
    </row>
    <row r="23" spans="1:16" ht="109.5" customHeight="1" x14ac:dyDescent="0.35">
      <c r="A23" s="354" t="s">
        <v>469</v>
      </c>
      <c r="B23" s="351" t="s">
        <v>1459</v>
      </c>
      <c r="C23" s="355" t="s">
        <v>1574</v>
      </c>
      <c r="D23" s="343" t="s">
        <v>1575</v>
      </c>
      <c r="E23" s="211" t="s">
        <v>1576</v>
      </c>
      <c r="F23" s="344" t="s">
        <v>1577</v>
      </c>
      <c r="G23" s="345" t="s">
        <v>1578</v>
      </c>
      <c r="H23" s="346" t="s">
        <v>1565</v>
      </c>
      <c r="I23" s="347" t="s">
        <v>1579</v>
      </c>
      <c r="J23" s="348" t="s">
        <v>1580</v>
      </c>
      <c r="K23" s="43" t="s">
        <v>1581</v>
      </c>
      <c r="L23" s="45" t="s">
        <v>1582</v>
      </c>
      <c r="M23" s="349" t="s">
        <v>1583</v>
      </c>
      <c r="N23" s="210" t="s">
        <v>1584</v>
      </c>
      <c r="O23" s="42" t="s">
        <v>1585</v>
      </c>
      <c r="P23" s="210" t="s">
        <v>1586</v>
      </c>
    </row>
    <row r="25" spans="1:16" ht="27.75" customHeight="1" x14ac:dyDescent="0.35">
      <c r="A25" s="498" t="s">
        <v>1587</v>
      </c>
      <c r="B25" s="498"/>
      <c r="C25" s="498"/>
      <c r="D25" s="498"/>
      <c r="E25" s="498"/>
      <c r="F25" s="498"/>
      <c r="G25" s="498"/>
      <c r="H25" s="498"/>
      <c r="I25" s="498"/>
      <c r="J25" s="498"/>
      <c r="K25" s="498"/>
      <c r="L25" s="498"/>
      <c r="M25" s="498"/>
      <c r="N25" s="498"/>
      <c r="O25" s="498"/>
      <c r="P25" s="498"/>
    </row>
    <row r="26" spans="1:16" ht="109.5" customHeight="1" x14ac:dyDescent="0.35">
      <c r="A26" s="356" t="s">
        <v>471</v>
      </c>
      <c r="B26" s="341" t="s">
        <v>1374</v>
      </c>
      <c r="C26" s="357" t="s">
        <v>1588</v>
      </c>
      <c r="D26" s="343" t="s">
        <v>1589</v>
      </c>
      <c r="E26" s="209" t="s">
        <v>1590</v>
      </c>
      <c r="F26" s="344" t="s">
        <v>1591</v>
      </c>
      <c r="G26" s="345" t="s">
        <v>1592</v>
      </c>
      <c r="H26" s="346" t="s">
        <v>1593</v>
      </c>
      <c r="I26" s="347" t="s">
        <v>1594</v>
      </c>
      <c r="J26" s="348" t="s">
        <v>1595</v>
      </c>
      <c r="K26" s="43" t="s">
        <v>1596</v>
      </c>
      <c r="L26" s="45" t="s">
        <v>1597</v>
      </c>
      <c r="M26" s="349" t="s">
        <v>1598</v>
      </c>
      <c r="N26" s="210" t="s">
        <v>1599</v>
      </c>
      <c r="O26" s="42" t="s">
        <v>1600</v>
      </c>
      <c r="P26" s="210" t="s">
        <v>1601</v>
      </c>
    </row>
    <row r="27" spans="1:16" ht="109.5" customHeight="1" x14ac:dyDescent="0.35">
      <c r="A27" s="356" t="s">
        <v>471</v>
      </c>
      <c r="B27" s="350" t="s">
        <v>1430</v>
      </c>
      <c r="C27" s="357" t="s">
        <v>1602</v>
      </c>
      <c r="D27" s="343" t="s">
        <v>1603</v>
      </c>
      <c r="E27" s="211" t="s">
        <v>1604</v>
      </c>
      <c r="F27" s="344" t="s">
        <v>1605</v>
      </c>
      <c r="G27" s="345" t="s">
        <v>1606</v>
      </c>
      <c r="H27" s="346" t="s">
        <v>1607</v>
      </c>
      <c r="I27" s="347" t="s">
        <v>1608</v>
      </c>
      <c r="J27" s="348" t="s">
        <v>1609</v>
      </c>
      <c r="K27" s="43" t="s">
        <v>1610</v>
      </c>
      <c r="L27" s="45" t="s">
        <v>1611</v>
      </c>
      <c r="M27" s="349" t="s">
        <v>1612</v>
      </c>
      <c r="N27" s="210" t="s">
        <v>1613</v>
      </c>
      <c r="O27" s="42" t="s">
        <v>1614</v>
      </c>
      <c r="P27" s="210" t="s">
        <v>1615</v>
      </c>
    </row>
    <row r="28" spans="1:16" ht="109.5" customHeight="1" x14ac:dyDescent="0.35">
      <c r="A28" s="356" t="s">
        <v>471</v>
      </c>
      <c r="B28" s="347" t="s">
        <v>1444</v>
      </c>
      <c r="C28" s="357" t="s">
        <v>1616</v>
      </c>
      <c r="D28" s="343" t="s">
        <v>1617</v>
      </c>
      <c r="E28" s="209" t="s">
        <v>1618</v>
      </c>
      <c r="F28" s="344" t="s">
        <v>1619</v>
      </c>
      <c r="G28" s="345" t="s">
        <v>1620</v>
      </c>
      <c r="H28" s="346" t="s">
        <v>1621</v>
      </c>
      <c r="I28" s="347" t="s">
        <v>1509</v>
      </c>
      <c r="J28" s="348" t="s">
        <v>1622</v>
      </c>
      <c r="K28" s="43" t="s">
        <v>1623</v>
      </c>
      <c r="L28" s="45" t="s">
        <v>1624</v>
      </c>
      <c r="M28" s="349" t="s">
        <v>1625</v>
      </c>
      <c r="N28" s="210" t="s">
        <v>1626</v>
      </c>
      <c r="O28" s="42" t="s">
        <v>1627</v>
      </c>
      <c r="P28" s="210" t="s">
        <v>1628</v>
      </c>
    </row>
    <row r="29" spans="1:16" ht="109.5" customHeight="1" x14ac:dyDescent="0.35">
      <c r="A29" s="356" t="s">
        <v>471</v>
      </c>
      <c r="B29" s="351" t="s">
        <v>1459</v>
      </c>
      <c r="C29" s="357" t="s">
        <v>1629</v>
      </c>
      <c r="D29" s="343" t="s">
        <v>1630</v>
      </c>
      <c r="E29" s="211" t="s">
        <v>1631</v>
      </c>
      <c r="F29" s="344" t="s">
        <v>1632</v>
      </c>
      <c r="G29" s="345" t="s">
        <v>1633</v>
      </c>
      <c r="H29" s="346" t="s">
        <v>1607</v>
      </c>
      <c r="I29" s="347" t="s">
        <v>1634</v>
      </c>
      <c r="J29" s="348" t="s">
        <v>1635</v>
      </c>
      <c r="K29" s="43" t="s">
        <v>1636</v>
      </c>
      <c r="L29" s="45" t="s">
        <v>1637</v>
      </c>
      <c r="M29" s="349" t="s">
        <v>1638</v>
      </c>
      <c r="N29" s="210" t="s">
        <v>1639</v>
      </c>
      <c r="O29" s="42" t="s">
        <v>1640</v>
      </c>
      <c r="P29" s="210" t="s">
        <v>1641</v>
      </c>
    </row>
    <row r="31" spans="1:16" ht="27.75" customHeight="1" x14ac:dyDescent="0.35">
      <c r="A31" s="499" t="s">
        <v>1642</v>
      </c>
      <c r="B31" s="499"/>
      <c r="C31" s="499"/>
      <c r="D31" s="499"/>
      <c r="E31" s="499"/>
      <c r="F31" s="499"/>
      <c r="G31" s="499"/>
      <c r="H31" s="499"/>
      <c r="I31" s="499"/>
      <c r="J31" s="499"/>
      <c r="K31" s="499"/>
      <c r="L31" s="499"/>
      <c r="M31" s="499"/>
      <c r="N31" s="499"/>
      <c r="O31" s="499"/>
      <c r="P31" s="499"/>
    </row>
    <row r="32" spans="1:16" ht="109.5" customHeight="1" x14ac:dyDescent="0.35">
      <c r="A32" s="358" t="s">
        <v>473</v>
      </c>
      <c r="B32" s="341" t="s">
        <v>1374</v>
      </c>
      <c r="C32" s="359" t="s">
        <v>1643</v>
      </c>
      <c r="D32" s="343" t="s">
        <v>1644</v>
      </c>
      <c r="E32" s="209" t="s">
        <v>1645</v>
      </c>
      <c r="F32" s="344" t="s">
        <v>1646</v>
      </c>
      <c r="G32" s="345" t="s">
        <v>1647</v>
      </c>
      <c r="H32" s="346" t="s">
        <v>1648</v>
      </c>
      <c r="I32" s="347" t="s">
        <v>1649</v>
      </c>
      <c r="J32" s="348" t="s">
        <v>1650</v>
      </c>
      <c r="K32" s="43" t="s">
        <v>1651</v>
      </c>
      <c r="L32" s="45" t="s">
        <v>1652</v>
      </c>
      <c r="M32" s="349" t="s">
        <v>1653</v>
      </c>
      <c r="N32" s="210" t="s">
        <v>1654</v>
      </c>
      <c r="O32" s="42" t="s">
        <v>1655</v>
      </c>
      <c r="P32" s="210" t="s">
        <v>1656</v>
      </c>
    </row>
    <row r="33" spans="1:16" ht="109.5" customHeight="1" x14ac:dyDescent="0.35">
      <c r="A33" s="358" t="s">
        <v>473</v>
      </c>
      <c r="B33" s="350" t="s">
        <v>1430</v>
      </c>
      <c r="C33" s="359" t="s">
        <v>1657</v>
      </c>
      <c r="D33" s="343" t="s">
        <v>1658</v>
      </c>
      <c r="E33" s="211" t="s">
        <v>1659</v>
      </c>
      <c r="F33" s="344" t="s">
        <v>1660</v>
      </c>
      <c r="G33" s="345" t="s">
        <v>1661</v>
      </c>
      <c r="H33" s="346" t="s">
        <v>1662</v>
      </c>
      <c r="I33" s="347" t="s">
        <v>1663</v>
      </c>
      <c r="J33" s="348" t="s">
        <v>1664</v>
      </c>
      <c r="K33" s="43" t="s">
        <v>1665</v>
      </c>
      <c r="L33" s="45" t="s">
        <v>1666</v>
      </c>
      <c r="M33" s="349" t="s">
        <v>1667</v>
      </c>
      <c r="N33" s="210" t="s">
        <v>1668</v>
      </c>
      <c r="O33" s="42" t="s">
        <v>1669</v>
      </c>
      <c r="P33" s="210" t="s">
        <v>1670</v>
      </c>
    </row>
    <row r="34" spans="1:16" ht="109.5" customHeight="1" x14ac:dyDescent="0.35">
      <c r="A34" s="358" t="s">
        <v>473</v>
      </c>
      <c r="B34" s="347" t="s">
        <v>1444</v>
      </c>
      <c r="C34" s="359" t="s">
        <v>1671</v>
      </c>
      <c r="D34" s="343" t="s">
        <v>1672</v>
      </c>
      <c r="E34" s="209" t="s">
        <v>1673</v>
      </c>
      <c r="F34" s="344" t="s">
        <v>1674</v>
      </c>
      <c r="G34" s="345" t="s">
        <v>1675</v>
      </c>
      <c r="H34" s="346" t="s">
        <v>1676</v>
      </c>
      <c r="I34" s="347" t="s">
        <v>1677</v>
      </c>
      <c r="J34" s="348" t="s">
        <v>1678</v>
      </c>
      <c r="K34" s="43" t="s">
        <v>1679</v>
      </c>
      <c r="L34" s="45" t="s">
        <v>1680</v>
      </c>
      <c r="M34" s="349" t="s">
        <v>1681</v>
      </c>
      <c r="N34" s="210" t="s">
        <v>1682</v>
      </c>
      <c r="O34" s="42" t="s">
        <v>1683</v>
      </c>
      <c r="P34" s="210" t="s">
        <v>1684</v>
      </c>
    </row>
    <row r="35" spans="1:16" ht="109.5" customHeight="1" x14ac:dyDescent="0.35">
      <c r="A35" s="358" t="s">
        <v>473</v>
      </c>
      <c r="B35" s="351" t="s">
        <v>1459</v>
      </c>
      <c r="C35" s="359" t="s">
        <v>1685</v>
      </c>
      <c r="D35" s="343" t="s">
        <v>1686</v>
      </c>
      <c r="E35" s="211" t="s">
        <v>1687</v>
      </c>
      <c r="F35" s="344" t="s">
        <v>1688</v>
      </c>
      <c r="G35" s="345" t="s">
        <v>1689</v>
      </c>
      <c r="H35" s="346" t="s">
        <v>1690</v>
      </c>
      <c r="I35" s="347" t="s">
        <v>1691</v>
      </c>
      <c r="J35" s="348" t="s">
        <v>1692</v>
      </c>
      <c r="K35" s="43" t="s">
        <v>1693</v>
      </c>
      <c r="L35" s="45" t="s">
        <v>1694</v>
      </c>
      <c r="M35" s="349" t="s">
        <v>1695</v>
      </c>
      <c r="N35" s="210" t="s">
        <v>1696</v>
      </c>
      <c r="O35" s="42" t="s">
        <v>1697</v>
      </c>
      <c r="P35" s="210" t="s">
        <v>1698</v>
      </c>
    </row>
    <row r="37" spans="1:16" ht="27.75" customHeight="1" x14ac:dyDescent="0.35">
      <c r="A37" s="500" t="s">
        <v>1699</v>
      </c>
      <c r="B37" s="500"/>
      <c r="C37" s="500"/>
      <c r="D37" s="500"/>
      <c r="E37" s="500"/>
      <c r="F37" s="500"/>
      <c r="G37" s="500"/>
      <c r="H37" s="500"/>
      <c r="I37" s="500"/>
      <c r="J37" s="500"/>
      <c r="K37" s="500"/>
      <c r="L37" s="500"/>
      <c r="M37" s="500"/>
      <c r="N37" s="500"/>
      <c r="O37" s="500"/>
      <c r="P37" s="500"/>
    </row>
    <row r="38" spans="1:16" ht="109.5" customHeight="1" x14ac:dyDescent="0.35">
      <c r="A38" s="360" t="s">
        <v>475</v>
      </c>
      <c r="B38" s="341" t="s">
        <v>1374</v>
      </c>
      <c r="C38" s="361" t="s">
        <v>1700</v>
      </c>
      <c r="D38" s="343" t="s">
        <v>1701</v>
      </c>
      <c r="E38" s="209" t="s">
        <v>1702</v>
      </c>
      <c r="F38" s="344" t="s">
        <v>1703</v>
      </c>
      <c r="G38" s="345" t="s">
        <v>1704</v>
      </c>
      <c r="H38" s="346" t="s">
        <v>1705</v>
      </c>
      <c r="I38" s="347" t="s">
        <v>1706</v>
      </c>
      <c r="J38" s="348" t="s">
        <v>1707</v>
      </c>
      <c r="K38" s="43" t="s">
        <v>1708</v>
      </c>
      <c r="L38" s="45" t="s">
        <v>1709</v>
      </c>
      <c r="M38" s="349" t="s">
        <v>1710</v>
      </c>
      <c r="N38" s="210" t="s">
        <v>1711</v>
      </c>
      <c r="O38" s="42" t="s">
        <v>1712</v>
      </c>
      <c r="P38" s="210" t="s">
        <v>1713</v>
      </c>
    </row>
    <row r="39" spans="1:16" ht="109.5" customHeight="1" x14ac:dyDescent="0.35">
      <c r="A39" s="360" t="s">
        <v>475</v>
      </c>
      <c r="B39" s="350" t="s">
        <v>1430</v>
      </c>
      <c r="C39" s="361" t="s">
        <v>1714</v>
      </c>
      <c r="D39" s="343" t="s">
        <v>1715</v>
      </c>
      <c r="E39" s="211" t="s">
        <v>1716</v>
      </c>
      <c r="F39" s="344" t="s">
        <v>1717</v>
      </c>
      <c r="G39" s="345" t="s">
        <v>1718</v>
      </c>
      <c r="H39" s="346" t="s">
        <v>1719</v>
      </c>
      <c r="I39" s="347" t="s">
        <v>1720</v>
      </c>
      <c r="J39" s="348" t="s">
        <v>1721</v>
      </c>
      <c r="K39" s="43" t="s">
        <v>1722</v>
      </c>
      <c r="L39" s="45" t="s">
        <v>1723</v>
      </c>
      <c r="M39" s="349" t="s">
        <v>1724</v>
      </c>
      <c r="N39" s="210" t="s">
        <v>1725</v>
      </c>
      <c r="O39" s="42" t="s">
        <v>1726</v>
      </c>
      <c r="P39" s="210" t="s">
        <v>1727</v>
      </c>
    </row>
    <row r="40" spans="1:16" ht="109.5" customHeight="1" x14ac:dyDescent="0.35">
      <c r="A40" s="360" t="s">
        <v>475</v>
      </c>
      <c r="B40" s="347" t="s">
        <v>1444</v>
      </c>
      <c r="C40" s="361" t="s">
        <v>1728</v>
      </c>
      <c r="D40" s="343" t="s">
        <v>1729</v>
      </c>
      <c r="E40" s="209" t="s">
        <v>1730</v>
      </c>
      <c r="F40" s="344" t="s">
        <v>1731</v>
      </c>
      <c r="G40" s="345" t="s">
        <v>1732</v>
      </c>
      <c r="H40" s="346" t="s">
        <v>1733</v>
      </c>
      <c r="I40" s="347" t="s">
        <v>1677</v>
      </c>
      <c r="J40" s="348" t="s">
        <v>1734</v>
      </c>
      <c r="K40" s="43" t="s">
        <v>1735</v>
      </c>
      <c r="L40" s="45" t="s">
        <v>1736</v>
      </c>
      <c r="M40" s="349" t="s">
        <v>1737</v>
      </c>
      <c r="N40" s="210" t="s">
        <v>1738</v>
      </c>
      <c r="O40" s="42" t="s">
        <v>1739</v>
      </c>
      <c r="P40" s="210" t="s">
        <v>1740</v>
      </c>
    </row>
    <row r="41" spans="1:16" ht="109.5" customHeight="1" x14ac:dyDescent="0.35">
      <c r="A41" s="360" t="s">
        <v>475</v>
      </c>
      <c r="B41" s="351" t="s">
        <v>1459</v>
      </c>
      <c r="C41" s="361" t="s">
        <v>1741</v>
      </c>
      <c r="D41" s="343" t="s">
        <v>1742</v>
      </c>
      <c r="E41" s="211" t="s">
        <v>1743</v>
      </c>
      <c r="F41" s="344" t="s">
        <v>1744</v>
      </c>
      <c r="G41" s="345" t="s">
        <v>1745</v>
      </c>
      <c r="H41" s="346" t="s">
        <v>1746</v>
      </c>
      <c r="I41" s="347" t="s">
        <v>1747</v>
      </c>
      <c r="J41" s="348" t="s">
        <v>1748</v>
      </c>
      <c r="K41" s="43" t="s">
        <v>1749</v>
      </c>
      <c r="L41" s="45" t="s">
        <v>1750</v>
      </c>
      <c r="M41" s="349" t="s">
        <v>1751</v>
      </c>
      <c r="N41" s="210" t="s">
        <v>1752</v>
      </c>
      <c r="O41" s="42" t="s">
        <v>1753</v>
      </c>
      <c r="P41" s="210" t="s">
        <v>1754</v>
      </c>
    </row>
    <row r="43" spans="1:16" ht="27.75" customHeight="1" x14ac:dyDescent="0.35">
      <c r="A43" s="501" t="s">
        <v>1755</v>
      </c>
      <c r="B43" s="501"/>
      <c r="C43" s="501"/>
      <c r="D43" s="501"/>
      <c r="E43" s="501"/>
      <c r="F43" s="501"/>
      <c r="G43" s="501"/>
      <c r="H43" s="501"/>
      <c r="I43" s="501"/>
      <c r="J43" s="501"/>
      <c r="K43" s="501"/>
      <c r="L43" s="501"/>
      <c r="M43" s="501"/>
      <c r="N43" s="501"/>
      <c r="O43" s="501"/>
      <c r="P43" s="501"/>
    </row>
    <row r="44" spans="1:16" ht="109.5" customHeight="1" x14ac:dyDescent="0.35">
      <c r="A44" s="362" t="s">
        <v>477</v>
      </c>
      <c r="B44" s="341" t="s">
        <v>1374</v>
      </c>
      <c r="C44" s="363" t="s">
        <v>1756</v>
      </c>
      <c r="D44" s="343" t="s">
        <v>1757</v>
      </c>
      <c r="E44" s="209" t="s">
        <v>1758</v>
      </c>
      <c r="F44" s="344" t="s">
        <v>1759</v>
      </c>
      <c r="G44" s="345" t="s">
        <v>1760</v>
      </c>
      <c r="H44" s="346" t="s">
        <v>1761</v>
      </c>
      <c r="I44" s="347" t="s">
        <v>1762</v>
      </c>
      <c r="J44" s="348" t="s">
        <v>1763</v>
      </c>
      <c r="K44" s="43" t="s">
        <v>1764</v>
      </c>
      <c r="L44" s="45" t="s">
        <v>1765</v>
      </c>
      <c r="M44" s="349" t="s">
        <v>1766</v>
      </c>
      <c r="N44" s="210" t="s">
        <v>1767</v>
      </c>
      <c r="O44" s="42" t="s">
        <v>1768</v>
      </c>
      <c r="P44" s="210" t="s">
        <v>1769</v>
      </c>
    </row>
    <row r="45" spans="1:16" ht="109.5" customHeight="1" x14ac:dyDescent="0.35">
      <c r="A45" s="362" t="s">
        <v>477</v>
      </c>
      <c r="B45" s="350" t="s">
        <v>1430</v>
      </c>
      <c r="C45" s="363" t="s">
        <v>1770</v>
      </c>
      <c r="D45" s="343" t="s">
        <v>1771</v>
      </c>
      <c r="E45" s="211" t="s">
        <v>1772</v>
      </c>
      <c r="F45" s="344" t="s">
        <v>1773</v>
      </c>
      <c r="G45" s="345" t="s">
        <v>1774</v>
      </c>
      <c r="H45" s="346" t="s">
        <v>1761</v>
      </c>
      <c r="I45" s="347" t="s">
        <v>1775</v>
      </c>
      <c r="J45" s="348" t="s">
        <v>1776</v>
      </c>
      <c r="K45" s="43" t="s">
        <v>1777</v>
      </c>
      <c r="L45" s="45" t="s">
        <v>1778</v>
      </c>
      <c r="M45" s="349" t="s">
        <v>1779</v>
      </c>
      <c r="N45" s="210" t="s">
        <v>1780</v>
      </c>
      <c r="O45" s="42" t="s">
        <v>1781</v>
      </c>
      <c r="P45" s="210" t="s">
        <v>1782</v>
      </c>
    </row>
    <row r="46" spans="1:16" ht="109.5" customHeight="1" x14ac:dyDescent="0.35">
      <c r="A46" s="362" t="s">
        <v>477</v>
      </c>
      <c r="B46" s="347" t="s">
        <v>1444</v>
      </c>
      <c r="C46" s="363" t="s">
        <v>1783</v>
      </c>
      <c r="D46" s="343" t="s">
        <v>1784</v>
      </c>
      <c r="E46" s="209" t="s">
        <v>1785</v>
      </c>
      <c r="F46" s="344" t="s">
        <v>1786</v>
      </c>
      <c r="G46" s="345" t="s">
        <v>1787</v>
      </c>
      <c r="H46" s="346" t="s">
        <v>1788</v>
      </c>
      <c r="I46" s="347" t="s">
        <v>1789</v>
      </c>
      <c r="J46" s="348" t="s">
        <v>1790</v>
      </c>
      <c r="K46" s="43" t="s">
        <v>1791</v>
      </c>
      <c r="L46" s="45" t="s">
        <v>1792</v>
      </c>
      <c r="M46" s="349" t="s">
        <v>1793</v>
      </c>
      <c r="N46" s="210" t="s">
        <v>1794</v>
      </c>
      <c r="O46" s="42" t="s">
        <v>1795</v>
      </c>
      <c r="P46" s="210" t="s">
        <v>1796</v>
      </c>
    </row>
    <row r="47" spans="1:16" ht="109.5" customHeight="1" x14ac:dyDescent="0.35">
      <c r="A47" s="362" t="s">
        <v>477</v>
      </c>
      <c r="B47" s="351" t="s">
        <v>1459</v>
      </c>
      <c r="C47" s="363" t="s">
        <v>1797</v>
      </c>
      <c r="D47" s="343" t="s">
        <v>1798</v>
      </c>
      <c r="E47" s="211" t="s">
        <v>1799</v>
      </c>
      <c r="F47" s="344" t="s">
        <v>1800</v>
      </c>
      <c r="G47" s="345" t="s">
        <v>1801</v>
      </c>
      <c r="H47" s="346" t="s">
        <v>1761</v>
      </c>
      <c r="I47" s="347" t="s">
        <v>1802</v>
      </c>
      <c r="J47" s="348" t="s">
        <v>1803</v>
      </c>
      <c r="K47" s="43" t="s">
        <v>1804</v>
      </c>
      <c r="L47" s="45" t="s">
        <v>1805</v>
      </c>
      <c r="M47" s="349" t="s">
        <v>1806</v>
      </c>
      <c r="N47" s="210" t="s">
        <v>1807</v>
      </c>
      <c r="O47" s="42" t="s">
        <v>1808</v>
      </c>
      <c r="P47" s="210" t="s">
        <v>1809</v>
      </c>
    </row>
    <row r="49" spans="1:16" ht="27.75" customHeight="1" x14ac:dyDescent="0.35">
      <c r="A49" s="502" t="s">
        <v>1810</v>
      </c>
      <c r="B49" s="502"/>
      <c r="C49" s="502"/>
      <c r="D49" s="502"/>
      <c r="E49" s="502"/>
      <c r="F49" s="502"/>
      <c r="G49" s="502"/>
      <c r="H49" s="502"/>
      <c r="I49" s="502"/>
      <c r="J49" s="502"/>
      <c r="K49" s="502"/>
      <c r="L49" s="502"/>
      <c r="M49" s="502"/>
      <c r="N49" s="502"/>
      <c r="O49" s="502"/>
      <c r="P49" s="502"/>
    </row>
    <row r="50" spans="1:16" ht="109.5" customHeight="1" x14ac:dyDescent="0.35">
      <c r="A50" s="364" t="s">
        <v>479</v>
      </c>
      <c r="B50" s="341" t="s">
        <v>1374</v>
      </c>
      <c r="C50" s="365" t="s">
        <v>1811</v>
      </c>
      <c r="D50" s="343" t="s">
        <v>1812</v>
      </c>
      <c r="E50" s="209" t="s">
        <v>1813</v>
      </c>
      <c r="F50" s="344" t="s">
        <v>1814</v>
      </c>
      <c r="G50" s="345" t="s">
        <v>1815</v>
      </c>
      <c r="H50" s="346" t="s">
        <v>1816</v>
      </c>
      <c r="I50" s="347" t="s">
        <v>1649</v>
      </c>
      <c r="J50" s="348" t="s">
        <v>1817</v>
      </c>
      <c r="K50" s="43" t="s">
        <v>1818</v>
      </c>
      <c r="L50" s="45" t="s">
        <v>1819</v>
      </c>
      <c r="M50" s="349" t="s">
        <v>1820</v>
      </c>
      <c r="N50" s="210" t="s">
        <v>1821</v>
      </c>
      <c r="O50" s="42" t="s">
        <v>1822</v>
      </c>
      <c r="P50" s="210" t="s">
        <v>1823</v>
      </c>
    </row>
    <row r="51" spans="1:16" ht="109.5" customHeight="1" x14ac:dyDescent="0.35">
      <c r="A51" s="364" t="s">
        <v>479</v>
      </c>
      <c r="B51" s="350" t="s">
        <v>1430</v>
      </c>
      <c r="C51" s="365" t="s">
        <v>1824</v>
      </c>
      <c r="D51" s="343" t="s">
        <v>1825</v>
      </c>
      <c r="E51" s="211" t="s">
        <v>1826</v>
      </c>
      <c r="F51" s="344" t="s">
        <v>1827</v>
      </c>
      <c r="G51" s="345" t="s">
        <v>1828</v>
      </c>
      <c r="H51" s="346" t="s">
        <v>1816</v>
      </c>
      <c r="I51" s="347" t="s">
        <v>1829</v>
      </c>
      <c r="J51" s="348" t="s">
        <v>1830</v>
      </c>
      <c r="K51" s="43" t="s">
        <v>1831</v>
      </c>
      <c r="L51" s="45" t="s">
        <v>1832</v>
      </c>
      <c r="M51" s="349" t="s">
        <v>1833</v>
      </c>
      <c r="N51" s="210" t="s">
        <v>1834</v>
      </c>
      <c r="O51" s="42" t="s">
        <v>1835</v>
      </c>
      <c r="P51" s="210" t="s">
        <v>1836</v>
      </c>
    </row>
    <row r="52" spans="1:16" ht="109.5" customHeight="1" x14ac:dyDescent="0.35">
      <c r="A52" s="364" t="s">
        <v>479</v>
      </c>
      <c r="B52" s="347" t="s">
        <v>1444</v>
      </c>
      <c r="C52" s="365" t="s">
        <v>1837</v>
      </c>
      <c r="D52" s="343" t="s">
        <v>1838</v>
      </c>
      <c r="E52" s="209" t="s">
        <v>1839</v>
      </c>
      <c r="F52" s="344" t="s">
        <v>1840</v>
      </c>
      <c r="G52" s="345" t="s">
        <v>1841</v>
      </c>
      <c r="H52" s="346" t="s">
        <v>1842</v>
      </c>
      <c r="I52" s="347" t="s">
        <v>1843</v>
      </c>
      <c r="J52" s="348" t="s">
        <v>1844</v>
      </c>
      <c r="K52" s="43" t="s">
        <v>1845</v>
      </c>
      <c r="L52" s="45" t="s">
        <v>1846</v>
      </c>
      <c r="M52" s="349" t="s">
        <v>1847</v>
      </c>
      <c r="N52" s="210" t="s">
        <v>1848</v>
      </c>
      <c r="O52" s="42" t="s">
        <v>1849</v>
      </c>
      <c r="P52" s="210" t="s">
        <v>1850</v>
      </c>
    </row>
    <row r="53" spans="1:16" ht="109.5" customHeight="1" x14ac:dyDescent="0.35">
      <c r="A53" s="364" t="s">
        <v>479</v>
      </c>
      <c r="B53" s="351" t="s">
        <v>1459</v>
      </c>
      <c r="C53" s="365" t="s">
        <v>1851</v>
      </c>
      <c r="D53" s="343" t="s">
        <v>1852</v>
      </c>
      <c r="E53" s="211" t="s">
        <v>1853</v>
      </c>
      <c r="F53" s="344" t="s">
        <v>1854</v>
      </c>
      <c r="G53" s="345" t="s">
        <v>1855</v>
      </c>
      <c r="H53" s="346" t="s">
        <v>1856</v>
      </c>
      <c r="I53" s="347" t="s">
        <v>1857</v>
      </c>
      <c r="J53" s="348" t="s">
        <v>1858</v>
      </c>
      <c r="K53" s="43" t="s">
        <v>1859</v>
      </c>
      <c r="L53" s="45" t="s">
        <v>1860</v>
      </c>
      <c r="M53" s="349" t="s">
        <v>1861</v>
      </c>
      <c r="N53" s="210" t="s">
        <v>1862</v>
      </c>
      <c r="O53" s="42" t="s">
        <v>1863</v>
      </c>
      <c r="P53" s="210" t="s">
        <v>1864</v>
      </c>
    </row>
    <row r="55" spans="1:16" ht="27.75" customHeight="1" x14ac:dyDescent="0.35">
      <c r="A55" s="503" t="s">
        <v>1865</v>
      </c>
      <c r="B55" s="503"/>
      <c r="C55" s="503"/>
      <c r="D55" s="503"/>
      <c r="E55" s="503"/>
      <c r="F55" s="503"/>
      <c r="G55" s="503"/>
      <c r="H55" s="503"/>
      <c r="I55" s="503"/>
      <c r="J55" s="503"/>
      <c r="K55" s="503"/>
      <c r="L55" s="503"/>
      <c r="M55" s="503"/>
      <c r="N55" s="503"/>
      <c r="O55" s="503"/>
      <c r="P55" s="503"/>
    </row>
    <row r="56" spans="1:16" ht="109.5" customHeight="1" x14ac:dyDescent="0.35">
      <c r="A56" s="366" t="s">
        <v>481</v>
      </c>
      <c r="B56" s="341" t="s">
        <v>1374</v>
      </c>
      <c r="C56" s="367" t="s">
        <v>1866</v>
      </c>
      <c r="D56" s="343" t="s">
        <v>1867</v>
      </c>
      <c r="E56" s="209" t="s">
        <v>1868</v>
      </c>
      <c r="F56" s="344" t="s">
        <v>1869</v>
      </c>
      <c r="G56" s="345" t="s">
        <v>1870</v>
      </c>
      <c r="H56" s="346" t="s">
        <v>1871</v>
      </c>
      <c r="I56" s="347" t="s">
        <v>1829</v>
      </c>
      <c r="J56" s="348" t="s">
        <v>1872</v>
      </c>
      <c r="K56" s="43" t="s">
        <v>1873</v>
      </c>
      <c r="L56" s="45" t="s">
        <v>1874</v>
      </c>
      <c r="M56" s="349" t="s">
        <v>1875</v>
      </c>
      <c r="N56" s="210" t="s">
        <v>1876</v>
      </c>
      <c r="O56" s="42" t="s">
        <v>1877</v>
      </c>
      <c r="P56" s="210" t="s">
        <v>1878</v>
      </c>
    </row>
    <row r="57" spans="1:16" ht="109.5" customHeight="1" x14ac:dyDescent="0.35">
      <c r="A57" s="366" t="s">
        <v>481</v>
      </c>
      <c r="B57" s="350" t="s">
        <v>1430</v>
      </c>
      <c r="C57" s="367" t="s">
        <v>1879</v>
      </c>
      <c r="D57" s="343" t="s">
        <v>1880</v>
      </c>
      <c r="E57" s="211" t="s">
        <v>1881</v>
      </c>
      <c r="F57" s="344" t="s">
        <v>1882</v>
      </c>
      <c r="G57" s="345" t="s">
        <v>1883</v>
      </c>
      <c r="H57" s="346" t="s">
        <v>1871</v>
      </c>
      <c r="I57" s="347" t="s">
        <v>1884</v>
      </c>
      <c r="J57" s="348" t="s">
        <v>1885</v>
      </c>
      <c r="K57" s="43" t="s">
        <v>1886</v>
      </c>
      <c r="L57" s="45" t="s">
        <v>1887</v>
      </c>
      <c r="M57" s="349" t="s">
        <v>1888</v>
      </c>
      <c r="N57" s="210" t="s">
        <v>1889</v>
      </c>
      <c r="O57" s="42" t="s">
        <v>1890</v>
      </c>
      <c r="P57" s="210" t="s">
        <v>1891</v>
      </c>
    </row>
    <row r="58" spans="1:16" ht="109.5" customHeight="1" x14ac:dyDescent="0.35">
      <c r="A58" s="366" t="s">
        <v>481</v>
      </c>
      <c r="B58" s="347" t="s">
        <v>1444</v>
      </c>
      <c r="C58" s="367" t="s">
        <v>1892</v>
      </c>
      <c r="D58" s="343" t="s">
        <v>1893</v>
      </c>
      <c r="E58" s="209" t="s">
        <v>1894</v>
      </c>
      <c r="F58" s="344" t="s">
        <v>1895</v>
      </c>
      <c r="G58" s="345" t="s">
        <v>1896</v>
      </c>
      <c r="H58" s="346" t="s">
        <v>1871</v>
      </c>
      <c r="I58" s="347" t="s">
        <v>1897</v>
      </c>
      <c r="J58" s="348" t="s">
        <v>1898</v>
      </c>
      <c r="K58" s="43" t="s">
        <v>1899</v>
      </c>
      <c r="L58" s="45" t="s">
        <v>1900</v>
      </c>
      <c r="M58" s="349" t="s">
        <v>1901</v>
      </c>
      <c r="N58" s="210" t="s">
        <v>1902</v>
      </c>
      <c r="O58" s="42" t="s">
        <v>1903</v>
      </c>
      <c r="P58" s="210" t="s">
        <v>1904</v>
      </c>
    </row>
    <row r="59" spans="1:16" ht="109.5" customHeight="1" x14ac:dyDescent="0.35">
      <c r="A59" s="366" t="s">
        <v>481</v>
      </c>
      <c r="B59" s="351" t="s">
        <v>1459</v>
      </c>
      <c r="C59" s="367" t="s">
        <v>1905</v>
      </c>
      <c r="D59" s="343" t="s">
        <v>1906</v>
      </c>
      <c r="E59" s="211" t="s">
        <v>1907</v>
      </c>
      <c r="F59" s="344" t="s">
        <v>1908</v>
      </c>
      <c r="G59" s="345" t="s">
        <v>1909</v>
      </c>
      <c r="H59" s="346" t="s">
        <v>1910</v>
      </c>
      <c r="I59" s="347" t="s">
        <v>1911</v>
      </c>
      <c r="J59" s="348" t="s">
        <v>1912</v>
      </c>
      <c r="K59" s="43" t="s">
        <v>1913</v>
      </c>
      <c r="L59" s="45" t="s">
        <v>1914</v>
      </c>
      <c r="M59" s="349" t="s">
        <v>1915</v>
      </c>
      <c r="N59" s="210" t="s">
        <v>1916</v>
      </c>
      <c r="O59" s="42" t="s">
        <v>1917</v>
      </c>
      <c r="P59" s="210" t="s">
        <v>1918</v>
      </c>
    </row>
    <row r="61" spans="1:16" ht="27.75" customHeight="1" x14ac:dyDescent="0.35">
      <c r="A61" s="496" t="s">
        <v>1919</v>
      </c>
      <c r="B61" s="496"/>
      <c r="C61" s="496"/>
      <c r="D61" s="496"/>
      <c r="E61" s="496"/>
      <c r="F61" s="496"/>
      <c r="G61" s="496"/>
      <c r="H61" s="496"/>
      <c r="I61" s="496"/>
      <c r="J61" s="496"/>
      <c r="K61" s="496"/>
      <c r="L61" s="496"/>
      <c r="M61" s="496"/>
      <c r="N61" s="496"/>
      <c r="O61" s="496"/>
      <c r="P61" s="496"/>
    </row>
    <row r="62" spans="1:16" ht="109.5" customHeight="1" x14ac:dyDescent="0.35">
      <c r="A62" s="352" t="s">
        <v>483</v>
      </c>
      <c r="B62" s="341" t="s">
        <v>1374</v>
      </c>
      <c r="C62" s="353" t="s">
        <v>1920</v>
      </c>
      <c r="D62" s="343" t="s">
        <v>1921</v>
      </c>
      <c r="E62" s="209" t="s">
        <v>1922</v>
      </c>
      <c r="F62" s="344" t="s">
        <v>1923</v>
      </c>
      <c r="G62" s="345" t="s">
        <v>1924</v>
      </c>
      <c r="H62" s="346" t="s">
        <v>1925</v>
      </c>
      <c r="I62" s="347" t="s">
        <v>1829</v>
      </c>
      <c r="J62" s="348" t="s">
        <v>1926</v>
      </c>
      <c r="K62" s="43" t="s">
        <v>1927</v>
      </c>
      <c r="L62" s="45" t="s">
        <v>1928</v>
      </c>
      <c r="M62" s="349" t="s">
        <v>1929</v>
      </c>
      <c r="N62" s="210" t="s">
        <v>1930</v>
      </c>
      <c r="O62" s="42" t="s">
        <v>1931</v>
      </c>
      <c r="P62" s="210" t="s">
        <v>1932</v>
      </c>
    </row>
    <row r="63" spans="1:16" ht="109.5" customHeight="1" x14ac:dyDescent="0.35">
      <c r="A63" s="352" t="s">
        <v>483</v>
      </c>
      <c r="B63" s="350" t="s">
        <v>1430</v>
      </c>
      <c r="C63" s="353" t="s">
        <v>1933</v>
      </c>
      <c r="D63" s="343" t="s">
        <v>1934</v>
      </c>
      <c r="E63" s="211" t="s">
        <v>1935</v>
      </c>
      <c r="F63" s="344" t="s">
        <v>1936</v>
      </c>
      <c r="G63" s="345" t="s">
        <v>1937</v>
      </c>
      <c r="H63" s="346" t="s">
        <v>1925</v>
      </c>
      <c r="I63" s="347" t="s">
        <v>1938</v>
      </c>
      <c r="J63" s="348" t="s">
        <v>1939</v>
      </c>
      <c r="K63" s="43" t="s">
        <v>1940</v>
      </c>
      <c r="L63" s="45" t="s">
        <v>1941</v>
      </c>
      <c r="M63" s="349" t="s">
        <v>1942</v>
      </c>
      <c r="N63" s="210" t="s">
        <v>1943</v>
      </c>
      <c r="O63" s="42" t="s">
        <v>1944</v>
      </c>
      <c r="P63" s="210" t="s">
        <v>1945</v>
      </c>
    </row>
    <row r="64" spans="1:16" ht="109.5" customHeight="1" x14ac:dyDescent="0.35">
      <c r="A64" s="352" t="s">
        <v>483</v>
      </c>
      <c r="B64" s="347" t="s">
        <v>1444</v>
      </c>
      <c r="C64" s="353" t="s">
        <v>1946</v>
      </c>
      <c r="D64" s="343" t="s">
        <v>1947</v>
      </c>
      <c r="E64" s="209" t="s">
        <v>1948</v>
      </c>
      <c r="F64" s="344" t="s">
        <v>1949</v>
      </c>
      <c r="G64" s="345" t="s">
        <v>1950</v>
      </c>
      <c r="H64" s="346" t="s">
        <v>1925</v>
      </c>
      <c r="I64" s="347" t="s">
        <v>1951</v>
      </c>
      <c r="J64" s="348" t="s">
        <v>1952</v>
      </c>
      <c r="K64" s="43" t="s">
        <v>1953</v>
      </c>
      <c r="L64" s="45" t="s">
        <v>1954</v>
      </c>
      <c r="M64" s="349" t="s">
        <v>1955</v>
      </c>
      <c r="N64" s="210" t="s">
        <v>1956</v>
      </c>
      <c r="O64" s="42" t="s">
        <v>1957</v>
      </c>
      <c r="P64" s="210" t="s">
        <v>1958</v>
      </c>
    </row>
    <row r="65" spans="1:16" ht="109.5" customHeight="1" x14ac:dyDescent="0.35">
      <c r="A65" s="352" t="s">
        <v>483</v>
      </c>
      <c r="B65" s="351" t="s">
        <v>1459</v>
      </c>
      <c r="C65" s="353" t="s">
        <v>1959</v>
      </c>
      <c r="D65" s="343" t="s">
        <v>1960</v>
      </c>
      <c r="E65" s="211" t="s">
        <v>1961</v>
      </c>
      <c r="F65" s="344" t="s">
        <v>1962</v>
      </c>
      <c r="G65" s="345" t="s">
        <v>1963</v>
      </c>
      <c r="H65" s="346" t="s">
        <v>1964</v>
      </c>
      <c r="I65" s="347" t="s">
        <v>1965</v>
      </c>
      <c r="J65" s="348" t="s">
        <v>1966</v>
      </c>
      <c r="K65" s="43" t="s">
        <v>1967</v>
      </c>
      <c r="L65" s="45" t="s">
        <v>1968</v>
      </c>
      <c r="M65" s="349" t="s">
        <v>1969</v>
      </c>
      <c r="N65" s="210" t="s">
        <v>1970</v>
      </c>
      <c r="O65" s="42" t="s">
        <v>1971</v>
      </c>
      <c r="P65" s="210" t="s">
        <v>1972</v>
      </c>
    </row>
    <row r="67" spans="1:16" ht="21.75" customHeight="1" x14ac:dyDescent="0.35">
      <c r="A67" s="450" t="s">
        <v>1973</v>
      </c>
      <c r="B67" s="450"/>
      <c r="C67" s="450"/>
      <c r="D67" s="450"/>
      <c r="E67" s="450"/>
      <c r="F67" s="450"/>
      <c r="G67" s="450"/>
      <c r="H67" s="450"/>
      <c r="I67" s="450"/>
      <c r="J67" s="450"/>
      <c r="K67" s="450"/>
      <c r="L67" s="450"/>
      <c r="M67" s="450"/>
      <c r="N67" s="450"/>
      <c r="O67" s="450"/>
      <c r="P67" s="450"/>
    </row>
  </sheetData>
  <mergeCells count="13">
    <mergeCell ref="A55:P55"/>
    <mergeCell ref="A61:P61"/>
    <mergeCell ref="A67:P67"/>
    <mergeCell ref="A25:P25"/>
    <mergeCell ref="A31:P31"/>
    <mergeCell ref="A37:P37"/>
    <mergeCell ref="A43:P43"/>
    <mergeCell ref="A49:P49"/>
    <mergeCell ref="A1:R1"/>
    <mergeCell ref="A2:R2"/>
    <mergeCell ref="A4:P4"/>
    <mergeCell ref="A13:P13"/>
    <mergeCell ref="A19:P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Cover</vt:lpstr>
      <vt:lpstr>1. Assessment &amp; Roadmap</vt:lpstr>
      <vt:lpstr>2. Effort Estimation</vt:lpstr>
      <vt:lpstr>9. Calibration Engine</vt:lpstr>
      <vt:lpstr>3. Benefit Sharing</vt:lpstr>
      <vt:lpstr>4. Governance &amp; KPIs</vt:lpstr>
      <vt:lpstr>5. ROI &amp; Financial Model</vt:lpstr>
      <vt:lpstr>6. Risk Register</vt:lpstr>
      <vt:lpstr>7. Tooling &amp; Stack</vt:lpstr>
      <vt:lpstr>8. Executive Dashboard</vt:lpstr>
      <vt:lpstr>10. WS Activity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Sanjukta Ray</cp:lastModifiedBy>
  <cp:revision>0</cp:revision>
  <dcterms:created xsi:type="dcterms:W3CDTF">2026-04-15T17:57:18Z</dcterms:created>
  <dcterms:modified xsi:type="dcterms:W3CDTF">2026-04-16T04:45:12Z</dcterms:modified>
  <dc:language>en-US</dc:language>
</cp:coreProperties>
</file>