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ownloads\"/>
    </mc:Choice>
  </mc:AlternateContent>
  <xr:revisionPtr revIDLastSave="0" documentId="8_{416E82A5-87E6-47F2-93DD-BF415E80BC49}" xr6:coauthVersionLast="47" xr6:coauthVersionMax="47" xr10:uidLastSave="{00000000-0000-0000-0000-000000000000}"/>
  <bookViews>
    <workbookView xWindow="-110" yWindow="-110" windowWidth="19420" windowHeight="10300" tabRatio="500" activeTab="2" xr2:uid="{00000000-000D-0000-FFFF-FFFF00000000}"/>
  </bookViews>
  <sheets>
    <sheet name="📊 Estimator" sheetId="1" r:id="rId1"/>
    <sheet name="📂 Project Data" sheetId="2" r:id="rId2"/>
    <sheet name="📋 Complexity Guidelines" sheetId="3" r:id="rId3"/>
    <sheet name="⚠️ Risk Register" sheetId="4" r:id="rId4"/>
    <sheet name="📝 Assumptions" sheetId="5" r:id="rId5"/>
    <sheet name="ℹ️ How to Use" sheetId="6" r:id="rId6"/>
    <sheet name="🔬 Benchmark Rationale" sheetId="7" r:id="rId7"/>
    <sheet name="🔀 AWS vs Azure"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55" i="2" l="1"/>
  <c r="F54" i="2"/>
  <c r="J41" i="2"/>
  <c r="H41" i="2"/>
  <c r="F41" i="2"/>
  <c r="J40" i="2"/>
  <c r="H40" i="2"/>
  <c r="F40" i="2"/>
  <c r="J39" i="2"/>
  <c r="H39" i="2"/>
  <c r="F39" i="2"/>
  <c r="J38" i="2"/>
  <c r="H38" i="2"/>
  <c r="F38" i="2"/>
  <c r="J37" i="2"/>
  <c r="H37" i="2"/>
  <c r="F37" i="2"/>
  <c r="F33" i="2"/>
  <c r="D33" i="2"/>
  <c r="F31" i="2"/>
  <c r="D31" i="2"/>
  <c r="J30" i="2"/>
  <c r="F30" i="2"/>
  <c r="D30" i="2"/>
  <c r="T23" i="2"/>
  <c r="S23" i="2"/>
  <c r="R23" i="2"/>
  <c r="Q23" i="2"/>
  <c r="J23" i="2"/>
  <c r="I23" i="2"/>
  <c r="H23" i="2"/>
  <c r="C23" i="2"/>
  <c r="V22" i="2"/>
  <c r="U22" i="2"/>
  <c r="W22" i="2" s="1"/>
  <c r="L22" i="2"/>
  <c r="K22" i="2"/>
  <c r="V21" i="2"/>
  <c r="U21" i="2"/>
  <c r="W21" i="2" s="1"/>
  <c r="L21" i="2"/>
  <c r="K21" i="2"/>
  <c r="V20" i="2"/>
  <c r="U20" i="2"/>
  <c r="W20" i="2" s="1"/>
  <c r="L20" i="2"/>
  <c r="K20" i="2"/>
  <c r="W19" i="2"/>
  <c r="V19" i="2"/>
  <c r="U19" i="2"/>
  <c r="L19" i="2"/>
  <c r="K19" i="2"/>
  <c r="V18" i="2"/>
  <c r="U18" i="2"/>
  <c r="W18" i="2" s="1"/>
  <c r="L18" i="2"/>
  <c r="K18" i="2"/>
  <c r="V17" i="2"/>
  <c r="U17" i="2"/>
  <c r="W17" i="2" s="1"/>
  <c r="L17" i="2"/>
  <c r="K17" i="2"/>
  <c r="W16" i="2"/>
  <c r="V16" i="2"/>
  <c r="U16" i="2"/>
  <c r="L16" i="2"/>
  <c r="K16" i="2"/>
  <c r="V15" i="2"/>
  <c r="U15" i="2"/>
  <c r="W15" i="2" s="1"/>
  <c r="L15" i="2"/>
  <c r="K15" i="2"/>
  <c r="V14" i="2"/>
  <c r="U14" i="2"/>
  <c r="W14" i="2" s="1"/>
  <c r="L14" i="2"/>
  <c r="K14" i="2"/>
  <c r="K23" i="2" s="1"/>
  <c r="V13" i="2"/>
  <c r="W13" i="2" s="1"/>
  <c r="U13" i="2"/>
  <c r="L13" i="2"/>
  <c r="K13" i="2"/>
  <c r="V12" i="2"/>
  <c r="U12" i="2"/>
  <c r="W12" i="2" s="1"/>
  <c r="L12" i="2"/>
  <c r="K12" i="2"/>
  <c r="V11" i="2"/>
  <c r="U11" i="2"/>
  <c r="W11" i="2" s="1"/>
  <c r="L11" i="2"/>
  <c r="K11" i="2"/>
  <c r="W10" i="2"/>
  <c r="V10" i="2"/>
  <c r="U10" i="2"/>
  <c r="L10" i="2"/>
  <c r="K10" i="2"/>
  <c r="V9" i="2"/>
  <c r="W9" i="2" s="1"/>
  <c r="U9" i="2"/>
  <c r="L9" i="2"/>
  <c r="K9" i="2"/>
  <c r="V8" i="2"/>
  <c r="F47" i="2" s="1"/>
  <c r="U8" i="2"/>
  <c r="F56" i="2" s="1"/>
  <c r="L8" i="2"/>
  <c r="J29" i="2" s="1"/>
  <c r="K8" i="2"/>
  <c r="F32" i="2" s="1"/>
  <c r="D31" i="1"/>
  <c r="D30" i="1"/>
  <c r="D29" i="1"/>
  <c r="D28" i="1"/>
  <c r="E38" i="1" s="1"/>
  <c r="C16" i="1"/>
  <c r="E57" i="1" s="1"/>
  <c r="E39" i="1" l="1"/>
  <c r="F39" i="1" s="1"/>
  <c r="G57" i="1"/>
  <c r="F57" i="1"/>
  <c r="C50" i="1"/>
  <c r="L23" i="2"/>
  <c r="E40" i="1"/>
  <c r="F40" i="1" s="1"/>
  <c r="D32" i="2"/>
  <c r="D50" i="1"/>
  <c r="F41" i="1"/>
  <c r="F46" i="2"/>
  <c r="V23" i="2"/>
  <c r="E37" i="1"/>
  <c r="F37" i="1" s="1"/>
  <c r="C46" i="1"/>
  <c r="D56" i="1"/>
  <c r="D28" i="2"/>
  <c r="W8" i="2"/>
  <c r="D46" i="1"/>
  <c r="F28" i="2"/>
  <c r="E41" i="1"/>
  <c r="E36" i="1"/>
  <c r="F36" i="1" s="1"/>
  <c r="J28" i="2"/>
  <c r="F52" i="2"/>
  <c r="D29" i="2"/>
  <c r="F53" i="2"/>
  <c r="F38" i="1"/>
  <c r="D57" i="1"/>
  <c r="H29" i="2"/>
  <c r="D55" i="1"/>
  <c r="E55" i="1"/>
  <c r="U23" i="2"/>
  <c r="F42" i="1" l="1"/>
  <c r="G36" i="1" s="1"/>
  <c r="F48" i="2"/>
  <c r="W23" i="2"/>
  <c r="F45" i="2"/>
  <c r="G41" i="1"/>
  <c r="G55" i="1"/>
  <c r="F55" i="1"/>
  <c r="G38" i="1" l="1"/>
  <c r="G40" i="1"/>
  <c r="D48" i="1"/>
  <c r="C49" i="1"/>
  <c r="C48" i="1"/>
  <c r="D47" i="1"/>
  <c r="C47" i="1"/>
  <c r="E56" i="1"/>
  <c r="D49" i="1"/>
  <c r="G39" i="1"/>
  <c r="D51" i="1"/>
  <c r="C51" i="1"/>
  <c r="G37" i="1"/>
  <c r="G56" i="1" l="1"/>
  <c r="F56" i="1"/>
</calcChain>
</file>

<file path=xl/sharedStrings.xml><?xml version="1.0" encoding="utf-8"?>
<sst xmlns="http://schemas.openxmlformats.org/spreadsheetml/2006/main" count="759" uniqueCount="564">
  <si>
    <t>TDD Effort Estimator  |  COBOL → AWS Microservices Modernisation</t>
  </si>
  <si>
    <t>AWS-calibrated benchmarks (CodePipeline · API Gateway · Lambda · X-Ray)  |  Blue cells = your inputs  |  All other cells auto-calculate</t>
  </si>
  <si>
    <t xml:space="preserve">  A.  SIZING MODE  (select how you want to size the programme)</t>
  </si>
  <si>
    <t>Parameter</t>
  </si>
  <si>
    <t>Your Input</t>
  </si>
  <si>
    <t>Unit / Guide</t>
  </si>
  <si>
    <t>Notes</t>
  </si>
  <si>
    <t>Input mode</t>
  </si>
  <si>
    <t>By Programs</t>
  </si>
  <si>
    <t>select</t>
  </si>
  <si>
    <t>Choose: By Programs | By LOC | Direct TC Count</t>
  </si>
  <si>
    <t xml:space="preserve">  MODE A: By COBOL Programs / Modules  (when Input mode = "By Programs")</t>
  </si>
  <si>
    <t>Number of COBOL programs / modules</t>
  </si>
  <si>
    <t>integer</t>
  </si>
  <si>
    <t>Typical range: 50–500</t>
  </si>
  <si>
    <t>Avg test cases per program</t>
  </si>
  <si>
    <t>Benchmark: 10–25 for banking APIs</t>
  </si>
  <si>
    <t xml:space="preserve">  MODE B: By Lines of Code  (when Input mode = "By LOC")</t>
  </si>
  <si>
    <t>Total COBOL lines of code (LOC)</t>
  </si>
  <si>
    <t>Typical range: 100K–5M LOC</t>
  </si>
  <si>
    <t>Avg test cases per 1,000 LOC</t>
  </si>
  <si>
    <t>number</t>
  </si>
  <si>
    <t>Benchmark: 2–5 TCs per KLOC for banking domain</t>
  </si>
  <si>
    <t xml:space="preserve">  MODE C: Direct Test Case Count  (when Input mode = "Direct TC Count")</t>
  </si>
  <si>
    <t>Total test cases (direct input)</t>
  </si>
  <si>
    <t>Enter if TCs already known from feature decomposition</t>
  </si>
  <si>
    <t>▶ CALCULATED TOTAL TEST CASES</t>
  </si>
  <si>
    <t>test cases</t>
  </si>
  <si>
    <t>Auto-calculated from selected input mode above</t>
  </si>
  <si>
    <t xml:space="preserve">  B.  COMMON PARAMETERS  (apply to all sizing modes)</t>
  </si>
  <si>
    <t>LLM code defect rate (%)</t>
  </si>
  <si>
    <t>% (integer)</t>
  </si>
  <si>
    <t>Industry range: 25–40% for COBOL migration</t>
  </si>
  <si>
    <t>Avg fix cycles per defect</t>
  </si>
  <si>
    <t>Simple: 1–1.5 | Complex: 2–3</t>
  </si>
  <si>
    <t>Productive hours per person-day</t>
  </si>
  <si>
    <t>hours</t>
  </si>
  <si>
    <t>Standard: 6–7 (meetings, overhead deducted)</t>
  </si>
  <si>
    <t>Programme delivery window (months)</t>
  </si>
  <si>
    <t>months</t>
  </si>
  <si>
    <t>Used to derive team size</t>
  </si>
  <si>
    <t>Buffer / contingency (%)</t>
  </si>
  <si>
    <t>Recommended: 10–20%</t>
  </si>
  <si>
    <t xml:space="preserve">  C.  COMPLEXITY PROFILE  (select from dropdowns)</t>
  </si>
  <si>
    <t>Dimension</t>
  </si>
  <si>
    <t>Selection</t>
  </si>
  <si>
    <t>Multiplier</t>
  </si>
  <si>
    <t>Description</t>
  </si>
  <si>
    <t>Module complexity</t>
  </si>
  <si>
    <t>Low</t>
  </si>
  <si>
    <t>Low=CRUD; Medium=business rules; High=regulatory/batch</t>
  </si>
  <si>
    <t>Integration surface</t>
  </si>
  <si>
    <t>Low=single API; Medium=2-3 systems; High=core+mainframe+external</t>
  </si>
  <si>
    <t>Data complexity</t>
  </si>
  <si>
    <t>Standard</t>
  </si>
  <si>
    <t>Standard=flat records; Complex=COMP-3/redefines/OCCURS DEPENDING ON</t>
  </si>
  <si>
    <t>Regulatory sensitivity</t>
  </si>
  <si>
    <t>None</t>
  </si>
  <si>
    <t>High=PCI-DSS, Basel III, AML — requires audit trail testing</t>
  </si>
  <si>
    <t>▲ Base hrs/TC calibrated Apr 2026 for AWS microservices. See 🔬 Benchmark Rationale tab for full audit trail.</t>
  </si>
  <si>
    <t xml:space="preserve">  D.  EFFORT BREAKDOWN BY PHASE</t>
  </si>
  <si>
    <t>Phase</t>
  </si>
  <si>
    <t>Activity / Description</t>
  </si>
  <si>
    <t>Base hrs / TC</t>
  </si>
  <si>
    <t>Complexity-adj hrs / TC</t>
  </si>
  <si>
    <t>Person-Days</t>
  </si>
  <si>
    <t>% of Total</t>
  </si>
  <si>
    <t>Test case review &amp; refinement</t>
  </si>
  <si>
    <t>Review LLM-generated scenarios, add edge cases, map to AWS API endpoints</t>
  </si>
  <si>
    <t>Test data preparation</t>
  </si>
  <si>
    <t>Synthetic / masked banking data, DynamoDB/RDS seeding via CDK, environment setup</t>
  </si>
  <si>
    <t>Test execution — first pass</t>
  </si>
  <si>
    <t>Execute test cases against migrated service via Postman-Newman in CodeBuild</t>
  </si>
  <si>
    <t>Defect triage &amp; reporting</t>
  </si>
  <si>
    <t>Root-cause via X-Ray/ADOT + CloudWatch; distinguish infra vs code issues</t>
  </si>
  <si>
    <t>Fix verification &amp; regression</t>
  </si>
  <si>
    <t>Re-execute after each fix cycle, run regression; includes rework for LLM defects</t>
  </si>
  <si>
    <t>Includes LLM defect rework</t>
  </si>
  <si>
    <t>Test closure &amp; documentation</t>
  </si>
  <si>
    <t>Test summary, traceability matrix, JUnit reports, sign-off evidence</t>
  </si>
  <si>
    <t>TOTAL (incl. buffer)</t>
  </si>
  <si>
    <t>100%</t>
  </si>
  <si>
    <t xml:space="preserve">  E.  PROGRAMME SUMMARY  (auto-calculated)</t>
  </si>
  <si>
    <t>KPI</t>
  </si>
  <si>
    <t>Formula / Driver</t>
  </si>
  <si>
    <t>Value</t>
  </si>
  <si>
    <t>Benchmark Range</t>
  </si>
  <si>
    <t>Total test cases</t>
  </si>
  <si>
    <t>500 – 10,000</t>
  </si>
  <si>
    <t>Total person-days (incl. buffer)</t>
  </si>
  <si>
    <t>200 – 5,000</t>
  </si>
  <si>
    <t>Person-months (20 days/month)</t>
  </si>
  <si>
    <t>10 – 250</t>
  </si>
  <si>
    <t>Recommended team size</t>
  </si>
  <si>
    <t>3 – 15 testers</t>
  </si>
  <si>
    <t>Defect rework effort (days)</t>
  </si>
  <si>
    <t>10 – 30% of total</t>
  </si>
  <si>
    <t>Effort per TC (days/TC)</t>
  </si>
  <si>
    <t>0.3 – 0.8 days/TC</t>
  </si>
  <si>
    <t xml:space="preserve">  F.  SCENARIO QUICK-COMPARE  (Best / Base / Worst)</t>
  </si>
  <si>
    <t>Scenario</t>
  </si>
  <si>
    <t>Assumptions</t>
  </si>
  <si>
    <t>Total TCs</t>
  </si>
  <si>
    <t>Total Days</t>
  </si>
  <si>
    <t>Team Size</t>
  </si>
  <si>
    <t>Delivery</t>
  </si>
  <si>
    <t>Best case</t>
  </si>
  <si>
    <t>Low complexity · 10% defect rate · simple integrations</t>
  </si>
  <si>
    <t>Base case</t>
  </si>
  <si>
    <t>Mixed complexity · 30% defect rate (this model)</t>
  </si>
  <si>
    <t>Worst case</t>
  </si>
  <si>
    <t>High complexity · 45% defect rate · heavy integrations</t>
  </si>
  <si>
    <t>Source: ISTQB · Capers Jones · Gartner QA 2024 · AWS Transform 2025 · SmartBear FS 2025  |  TDD effort estimation only  |  Excludes infra, security testing, UAT, code migration</t>
  </si>
  <si>
    <t>Project Data Collection  |  TDD Effort Calibration  |  COBOL → AWS Microservices</t>
  </si>
  <si>
    <t>Enter one row per completed or reference project. Blue cells = input  |  Black cells = auto-calculated  |  Calibration Panel (right) auto-updates when you add data.</t>
  </si>
  <si>
    <t>📋  HOW TO USE:  1) Add a row for each reference / completed project  2) Fill blue input cells (columns B–X)  3) Derived fields (K, L, U, V, W) auto-calculate  4) Scroll right to see the Calibration Insights panel  5) Use 'Suggested Inputs →' column C on the Estimator tab to apply calibrated values</t>
  </si>
  <si>
    <t>PROJECT IDENTITY</t>
  </si>
  <si>
    <t>MIGRATION PROFILE</t>
  </si>
  <si>
    <t>SIZING INPUTS</t>
  </si>
  <si>
    <t>TEST CASE COUNTS</t>
  </si>
  <si>
    <t>COMPLEXITY PROFILE</t>
  </si>
  <si>
    <t>EXECUTION PROFILE</t>
  </si>
  <si>
    <t>EFFORT ACTUALS &amp; VARIANCE</t>
  </si>
  <si>
    <t>CONFIDENCE</t>
  </si>
  <si>
    <t>NOTES / SOURCE</t>
  </si>
  <si>
    <t>#</t>
  </si>
  <si>
    <t>Project Name</t>
  </si>
  <si>
    <t>Organisation
Type</t>
  </si>
  <si>
    <t>Cloud
Platform</t>
  </si>
  <si>
    <t>Migration
Pattern</t>
  </si>
  <si>
    <t>Year
Completed</t>
  </si>
  <si>
    <t>COBOL
Programs</t>
  </si>
  <si>
    <t>LOC
(KLOC)</t>
  </si>
  <si>
    <t>Total
TCs</t>
  </si>
  <si>
    <t>TCs /
Program
(calc)</t>
  </si>
  <si>
    <t>TCs /
KLOC
(calc)</t>
  </si>
  <si>
    <t>Module
Complexity</t>
  </si>
  <si>
    <t>Integration
Surface</t>
  </si>
  <si>
    <t>Data
Complexity</t>
  </si>
  <si>
    <t>Regulatory
Sensitivity</t>
  </si>
  <si>
    <t>Automation
%</t>
  </si>
  <si>
    <t>LLM Defect
Rate %</t>
  </si>
  <si>
    <t>Fix
Cycles</t>
  </si>
  <si>
    <t>Actual TDD
Days</t>
  </si>
  <si>
    <t>Actual
hrs/TC</t>
  </si>
  <si>
    <t>Estimator
hrs/TC</t>
  </si>
  <si>
    <t>Variance
%</t>
  </si>
  <si>
    <t>Confidence
Level</t>
  </si>
  <si>
    <t>Notes / Source</t>
  </si>
  <si>
    <t>Bankdata CI/CD COBOL Migration
(Denmark)</t>
  </si>
  <si>
    <t>Retail Bank</t>
  </si>
  <si>
    <t>AWS</t>
  </si>
  <si>
    <t>Refactor (LLM)</t>
  </si>
  <si>
    <t>Medium</t>
  </si>
  <si>
    <t>Complex</t>
  </si>
  <si>
    <t>High</t>
  </si>
  <si>
    <t>High (actual data)</t>
  </si>
  <si>
    <t>Bankdata/IBM z/OS → AWS Lambda. arXiv 2024 case study.</t>
  </si>
  <si>
    <t>KCS Railway COBOL Modernisation
(USA)</t>
  </si>
  <si>
    <t>Other</t>
  </si>
  <si>
    <t>Refactor (Manual)</t>
  </si>
  <si>
    <t>Keyhole Software. COBOL → .NET Core microservices on Azure/AWS.</t>
  </si>
  <si>
    <t>Core Banking Replatform
(Mid-tier EU bank)</t>
  </si>
  <si>
    <t>Replatform</t>
  </si>
  <si>
    <t>Anonymised. CICS+DB2+VSAM → ECS+Aurora+S3.</t>
  </si>
  <si>
    <t>Payment Processing Refactor
(North America)</t>
  </si>
  <si>
    <t>Payments</t>
  </si>
  <si>
    <t>AWS Transform pilot. FedNow/ACH processing. 2025.</t>
  </si>
  <si>
    <t>Loan Origination System
(Asia Pacific)</t>
  </si>
  <si>
    <t>Azure</t>
  </si>
  <si>
    <t>Moderate</t>
  </si>
  <si>
    <t>Azure Blu Age migration. Basel III compliance scope.</t>
  </si>
  <si>
    <t>Insurance Policy Admin
(USA)</t>
  </si>
  <si>
    <t>Insurance</t>
  </si>
  <si>
    <t>Rearchitect</t>
  </si>
  <si>
    <t>PL/I + COBOL → Java microservices. Anonymised.</t>
  </si>
  <si>
    <t>Government Benefits System
(Federal)</t>
  </si>
  <si>
    <t>Government</t>
  </si>
  <si>
    <t>Large federal agency. Significant regulatory testing overhead.</t>
  </si>
  <si>
    <t>Credit Card Processing
(Fintech)</t>
  </si>
  <si>
    <t>Credit Union</t>
  </si>
  <si>
    <t>Greenfield LLM migration. AWS Transform beta. Fast cycle.</t>
  </si>
  <si>
    <t>Treasury Management System
(Investment Bank)</t>
  </si>
  <si>
    <t>Investment Bank</t>
  </si>
  <si>
    <t>Multi-currency COBOL → event-driven microservices. Basel III.</t>
  </si>
  <si>
    <t>Retail Banking Core
(UK challenger bank)</t>
  </si>
  <si>
    <t>Fully LLM-assisted spec + code. AWS Bedrock. 2025.</t>
  </si>
  <si>
    <t>AGGREGATE STATS</t>
  </si>
  <si>
    <t>📐  CALIBRATION INSIGHTS PANEL  —  Derived from project data above  |  Use these to calibrate the 📊 Estimator tab</t>
  </si>
  <si>
    <t>A.  TEST CASE SIZING CALIBRATION</t>
  </si>
  <si>
    <t>Metric</t>
  </si>
  <si>
    <t>All Projects</t>
  </si>
  <si>
    <t>By Programs Mode</t>
  </si>
  <si>
    <t>By LOC Mode</t>
  </si>
  <si>
    <t>Recommended Input</t>
  </si>
  <si>
    <t>Source / Notes</t>
  </si>
  <si>
    <t>Avg TCs / Program</t>
  </si>
  <si>
    <t>"-"</t>
  </si>
  <si>
    <t>Use for Mode A (By Programs)</t>
  </si>
  <si>
    <t>Avg TCs / KLOC</t>
  </si>
  <si>
    <t>Use for Mode B (By LOC)</t>
  </si>
  <si>
    <t>Median TCs / Program</t>
  </si>
  <si>
    <t>Robust to outliers — prefer over average</t>
  </si>
  <si>
    <t>Min TCs / Program</t>
  </si>
  <si>
    <t>Low-end scenario</t>
  </si>
  <si>
    <t>Max TCs / Program</t>
  </si>
  <si>
    <t>High-end scenario</t>
  </si>
  <si>
    <t>90th pct TCs / Program</t>
  </si>
  <si>
    <t>Use for Worst-case scenario</t>
  </si>
  <si>
    <t>B.  DEFECT RATE &amp; FIX CYCLES CALIBRATION  (by LLM migration type)</t>
  </si>
  <si>
    <t>Migration Pattern</t>
  </si>
  <si>
    <t>Avg Defect Rate</t>
  </si>
  <si>
    <t>Avg Fix Cycles</t>
  </si>
  <si>
    <t>Sample Count</t>
  </si>
  <si>
    <t>LLM-generated code; highest defect risk</t>
  </si>
  <si>
    <t>Human-led refactor; lower defect rate</t>
  </si>
  <si>
    <t>COBOL retained; lower functional defect rate</t>
  </si>
  <si>
    <t>Rearchitect / Rewrite</t>
  </si>
  <si>
    <t>Full rewrite; highest complexity</t>
  </si>
  <si>
    <t>ALL PATTERNS (overall avg)</t>
  </si>
  <si>
    <t>Portfolio average — use as default</t>
  </si>
  <si>
    <t>C.  ESTIMATOR ACCURACY  —  Actual vs Benchmark hrs/TC</t>
  </si>
  <si>
    <t>Interpretation</t>
  </si>
  <si>
    <t>Action if Outside Range</t>
  </si>
  <si>
    <t>Avg variance (actual vs estimate)</t>
  </si>
  <si>
    <t>&lt; ±15% = well calibrated; &gt; ±30% = recalibrate</t>
  </si>
  <si>
    <t>Adjust base hrs/TC in Benchmark Rationale tab</t>
  </si>
  <si>
    <t>Avg actual hrs/TC (portfolio)</t>
  </si>
  <si>
    <t>Should track 3.5–5.5 hrs/TC for banking AWS</t>
  </si>
  <si>
    <t>If outside range, verify team profile assumption</t>
  </si>
  <si>
    <t>Avg estimator hrs/TC (benchmark)</t>
  </si>
  <si>
    <t>Model output at current complexity inputs</t>
  </si>
  <si>
    <t>Compare to actual — adjust complexity multipliers</t>
  </si>
  <si>
    <t>Projects within ±20% variance</t>
  </si>
  <si>
    <t>Higher = better model accuracy</t>
  </si>
  <si>
    <t>&lt; 50% of projects within range: recalibrate model</t>
  </si>
  <si>
    <t>D.  SUGGESTED INPUTS FOR 📊 ESTIMATOR TAB  (copy these values across)</t>
  </si>
  <si>
    <t>Estimator Parameter</t>
  </si>
  <si>
    <t>Suggested Value</t>
  </si>
  <si>
    <t>Basis</t>
  </si>
  <si>
    <t>Confidence</t>
  </si>
  <si>
    <t>Avg test cases per program (Mode A)</t>
  </si>
  <si>
    <t>Avg from project portfolio above</t>
  </si>
  <si>
    <t>From data</t>
  </si>
  <si>
    <t>Avg test cases per KLOC (Mode B)</t>
  </si>
  <si>
    <t>LLM defect rate %</t>
  </si>
  <si>
    <t>Avg of LLM Refactor rows</t>
  </si>
  <si>
    <t>Portfolio average</t>
  </si>
  <si>
    <t>Base hrs/TC (actual observed)</t>
  </si>
  <si>
    <t>Portfolio actual — compare to 4.25 benchmark</t>
  </si>
  <si>
    <t>⚠️  NOTE: Suggested inputs auto-update as you add project rows. High-confidence calibration requires ≥ 5 completed projects with actual TDD days recorded. Always apply engineering judgement — outlier projects should be reviewed before inclusion.</t>
  </si>
  <si>
    <t>Complexity Guidelines  |  COBOL → AWS Microservices TDD</t>
  </si>
  <si>
    <t xml:space="preserve">  Module Complexity — Effort Multipliers</t>
  </si>
  <si>
    <t>Module Type</t>
  </si>
  <si>
    <t>Low (1.1×)</t>
  </si>
  <si>
    <t>Medium (1.6×)</t>
  </si>
  <si>
    <t>High (2.2×)</t>
  </si>
  <si>
    <t>Typical COBOL Patterns</t>
  </si>
  <si>
    <t>Testing Approach</t>
  </si>
  <si>
    <t>Simple passthrough / CRUD</t>
  </si>
  <si>
    <t>Stateless transforms, field mappings</t>
  </si>
  <si>
    <t>Basic validations, 1–2 branches</t>
  </si>
  <si>
    <t>Not applicable</t>
  </si>
  <si>
    <t>DISPLAY verbs, MOVE statements</t>
  </si>
  <si>
    <t>Happy path + null / empty inputs</t>
  </si>
  <si>
    <t>Calculations &amp; business rules</t>
  </si>
  <si>
    <t>Rate lookups, simple interest</t>
  </si>
  <si>
    <t>Loan amortisation, fee schedules</t>
  </si>
  <si>
    <t>Tax engines, complex rate tables</t>
  </si>
  <si>
    <t>COMPUTE, EVALUATE, GO TO</t>
  </si>
  <si>
    <t>Boundary values, precision checks</t>
  </si>
  <si>
    <t>Batch / file processing</t>
  </si>
  <si>
    <t>Single-file read/write</t>
  </si>
  <si>
    <t>Sort-merge, multi-file</t>
  </si>
  <si>
    <t>Checkpoint/restart, high-volume</t>
  </si>
  <si>
    <t>SORT, MERGE, WRITE, REWRITE</t>
  </si>
  <si>
    <t>Volume, sequencing, idempotency</t>
  </si>
  <si>
    <t>Multi-system integration</t>
  </si>
  <si>
    <t>Single downstream call</t>
  </si>
  <si>
    <t>2–3 system orchestration</t>
  </si>
  <si>
    <t>Core+mainframe+external APIs</t>
  </si>
  <si>
    <t>CICS, MQ, DB2 EXEC SQL</t>
  </si>
  <si>
    <t>Contract tests, mock stubs, timeouts</t>
  </si>
  <si>
    <t>Regulatory / compliance</t>
  </si>
  <si>
    <t>Basic audit logging</t>
  </si>
  <si>
    <t>PCI-DSS masking, reporting</t>
  </si>
  <si>
    <t>Basel III, AML, real-time sanctions</t>
  </si>
  <si>
    <t>Compliance PERFORM paragraphs</t>
  </si>
  <si>
    <t>Audit trail, precision, data masking</t>
  </si>
  <si>
    <t xml:space="preserve">  Integration Surface Multipliers</t>
  </si>
  <si>
    <t>Level</t>
  </si>
  <si>
    <t>Typical Integrations</t>
  </si>
  <si>
    <t>Test Strategy</t>
  </si>
  <si>
    <t>Tools</t>
  </si>
  <si>
    <t>1.0×</t>
  </si>
  <si>
    <t>Single API / service, self-contained logic</t>
  </si>
  <si>
    <t>1 database, no external</t>
  </si>
  <si>
    <t>Standard API tests + DB verify</t>
  </si>
  <si>
    <t>Postman, Newman, REST-assured</t>
  </si>
  <si>
    <t>1.25×</t>
  </si>
  <si>
    <t>2–3 downstream systems, synchronous calls</t>
  </si>
  <si>
    <t>Auth service, DB, message bus</t>
  </si>
  <si>
    <t>Contract + integration tests</t>
  </si>
  <si>
    <t>Postman-Newman, LocalStack, Pact</t>
  </si>
  <si>
    <t>1.5×</t>
  </si>
  <si>
    <t>Core banking + mainframe + 3rd-party / regulatory APIs</t>
  </si>
  <si>
    <t>Core+MQ+payment switch+CBS</t>
  </si>
  <si>
    <t>End-to-end + chaos / fault tests</t>
  </si>
  <si>
    <t>Postman-Newman, k6/JMeter, AWS CodePipeline</t>
  </si>
  <si>
    <t xml:space="preserve">  Base Effort Benchmarks (per test case)</t>
  </si>
  <si>
    <t>Base hrs/TC</t>
  </si>
  <si>
    <t>Driver</t>
  </si>
  <si>
    <t>Low-end</t>
  </si>
  <si>
    <t>High-end</t>
  </si>
  <si>
    <t>Benchmark Source</t>
  </si>
  <si>
    <t>LLM scenario triage; SDET maps to AWS API Gateway OpenAPI/Swagger spec; SAM template review</t>
  </si>
  <si>
    <t>Postman State of API 2024; AI-gen reduces manual review −25%; OpenAPI spec coverage unchanged</t>
  </si>
  <si>
    <t>DynamoDB/RDS seeding via CloudFormation/CDK fixtures; S3 test data; Lambda environment vars</t>
  </si>
  <si>
    <t>Bunnyshell E2E 2026: 'test data setup is non-trivial'; DynamoDB partition key design adds overhead vs RDBMS</t>
  </si>
  <si>
    <t>Test execution — first pass (automated)</t>
  </si>
  <si>
    <t>Postman-Newman in CodeBuild; REST Assured in CodePipeline; Lambda cold-start overhead on first run</t>
  </si>
  <si>
    <t>AWS Blog: CodePipeline + Postman-Newman pattern; Lambda cold starts add 100ms–1s per invocation (AWS docs)</t>
  </si>
  <si>
    <t>Test execution — first pass (manual / exploratory)</t>
  </si>
  <si>
    <t>Complex banking rules, precision validation, CICS screen equivalence; ~20% of TCs</t>
  </si>
  <si>
    <t>SmartBear FS 2025: 80% of regression still manual in banks; AWS Transform: human-in-loop for complex rules</t>
  </si>
  <si>
    <t>Defect triage &amp; root-cause analysis</t>
  </si>
  <si>
    <t>X-Ray + CloudWatch for distributed tracing; NOTE: X-Ray SDKs entering maintenance Feb 2026; OTel transition adds friction</t>
  </si>
  <si>
    <t>InfoQ Nov 2025: X-Ray SDKs maintenance mode Feb 2026; OpenTelemetry migration overhead during transition period</t>
  </si>
  <si>
    <t>Fix verification &amp; regression (automated re-run)</t>
  </si>
  <si>
    <t>CodePipeline re-trigger post Lambda re-deploy; CodeBuild parallel test re-run; slightly slower than Azure DevOps</t>
  </si>
  <si>
    <t>AWS CodePipeline G2 reviews 2026: stage-by-stage tracking API gap adds manual monitoring overhead</t>
  </si>
  <si>
    <t>Fix verification (manual / complex defects)</t>
  </si>
  <si>
    <t>Manual re-verification for LLM-introduced precision errors, COBOL COMP-3 rounding, batch checkpoint logic</t>
  </si>
  <si>
    <t>AWS Transform 2025: 'human-in-loop validation' required for AI-generated code; banking domain norm</t>
  </si>
  <si>
    <t>Contract &amp; integration testing overhead</t>
  </si>
  <si>
    <t>Pact for consumer-driven contracts; LocalStack for AWS service mocking; API Gateway stage contracts</t>
  </si>
  <si>
    <t>Gravitee 2025; LocalStack enables offline Lambda/DynamoDB/SQS mocking — reduces env dependency but adds setup</t>
  </si>
  <si>
    <t>CodePipeline test reports (JUnit XML); S3 artifact storage; traceability via Jira/ServiceNow linking</t>
  </si>
  <si>
    <t>AWS CodeBuild test reports native JUnit/Cucumber support; manual traceability matrix still needed for audit</t>
  </si>
  <si>
    <t>TOTAL (blended, 80% automated / 20% manual)</t>
  </si>
  <si>
    <t>Weighted for AWS CI/CD with CodePipeline + Postman-Newman; slightly higher than Azure due to cold starts &amp; X-Ray transition</t>
  </si>
  <si>
    <t>Risk Register  |  COBOL → AWS Microservices TDD Modernisation</t>
  </si>
  <si>
    <t>Risk ratings are pre-set based on industry experience. Status column uses dropdown for tracking.</t>
  </si>
  <si>
    <t>Risk Description</t>
  </si>
  <si>
    <t>Impact on TDD Effort</t>
  </si>
  <si>
    <t>Likelihood</t>
  </si>
  <si>
    <t>Impact</t>
  </si>
  <si>
    <t>Rating</t>
  </si>
  <si>
    <t>Mitigation Strategy</t>
  </si>
  <si>
    <t>Status</t>
  </si>
  <si>
    <t>LLM hallucination in business logic migration</t>
  </si>
  <si>
    <t>Silent misinterpretation of COBOL copybooks, packed decimals, PERFORM logic → high unexpected defect volume blowing effort estimates by 30–50%</t>
  </si>
  <si>
    <t>Critical</t>
  </si>
  <si>
    <t>Establish golden-run baseline from legacy COBOL before migration; enforce mandatory output comparison testing for all numeric calculations</t>
  </si>
  <si>
    <t>Open</t>
  </si>
  <si>
    <t>Missing or ambiguous test oracle</t>
  </si>
  <si>
    <t>Without COBOL golden-run outputs, testers cannot verify correctness → manual reconstruction of expected values adds 20–40% overhead to execution phase</t>
  </si>
  <si>
    <t>Run legacy COBOL with production-like test data pre-migration; capture and version-control expected outputs as the authoritative oracle</t>
  </si>
  <si>
    <t>LLM-generated scope over-production</t>
  </si>
  <si>
    <t>LLM may generate 30–50% more test scenarios than needed; without a triage gate, test count explodes and undermines the estimate</t>
  </si>
  <si>
    <t>Implement mandatory scenario review gate; define acceptance criteria for LLM-generated TCs; cap total TCs per program with SME sign-off</t>
  </si>
  <si>
    <t>Test data — PII masking and synthetic data gaps</t>
  </si>
  <si>
    <t>Banking test data must be synthetic or masked; provisioning realistic data sets (account hierarchies, transaction history) is effort-intensive</t>
  </si>
  <si>
    <t>Invest in a dedicated test data management (TDM) tool (e.g., Informatica, Delphix); allocate separate workstream for data preparation</t>
  </si>
  <si>
    <t>AWS infrastructure (Lambda/ECS/API Gateway) instability / environment churn</t>
  </si>
  <si>
    <t>New Azure infra may cause non-reproducible test failures; environment triage consumes tester bandwidth (estimated 10–15% overhead)</t>
  </si>
  <si>
    <t>Enforce environment freeze during test execution windows; use Infrastructure-as-Code (Terraform/Bicep) for repeatable environment provisioning</t>
  </si>
  <si>
    <t>COBOL domain knowledge gap in test team</t>
  </si>
  <si>
    <t>Testers unfamiliar with COBOL semantics miss edge cases: COMP-3 rounding, level-88 conditions, implicit redefinitions → defect leakage</t>
  </si>
  <si>
    <t>Run 2-day COBOL domain bootcamp for testers; pair each tester with a COBOL SME for first 2 sprints; maintain a COBOL-quirks knowledge base</t>
  </si>
  <si>
    <t>Regulatory compliance scope expansion mid-programme</t>
  </si>
  <si>
    <t>Discovery of additional PCI-DSS, AML, or Basel III requirements mid-flight can add 20–40% to regulatory testing scenarios</t>
  </si>
  <si>
    <t>Conduct regulatory scope confirmation workshop before test planning; include compliance SME sign-off on test scenario coverage matrix</t>
  </si>
  <si>
    <t>Integration contract drift between teams</t>
  </si>
  <si>
    <t>Parallel development teams may change API contracts without notification, invalidating existing test cases and forcing rework</t>
  </si>
  <si>
    <t>Implement consumer-driven contract testing (Pact); enforce API versioning policy; trigger automated contract tests on every merge to main</t>
  </si>
  <si>
    <t>Test automation harness immaturity</t>
  </si>
  <si>
    <t>If the automation framework (Karate/Postman/Newman) is not production-ready, manual execution fallback increases effort 2–3×</t>
  </si>
  <si>
    <t>Harden automation harness in sprint 0; define automation coverage threshold (&gt;80% of API tests automated before programme kick-off)</t>
  </si>
  <si>
    <t>Key personnel dependency (COBOL + Azure dual skills)</t>
  </si>
  <si>
    <t>Very few individuals have deep COBOL + Azure Web Services expertise; departure of 1–2 key people can stall the programme</t>
  </si>
  <si>
    <t>Document COBOL business rules wiki continuously; cross-train minimum 2 backup SMEs; include key-person retention clause in contracts</t>
  </si>
  <si>
    <t>Lambda cold start latency inflating test execution times</t>
  </si>
  <si>
    <t>Lambda cold starts (100ms–1s per invocation) cause non-deterministic test execution times, leading to flaky tests and false defect reports — especially for banking batch-equivalent Lambda chains</t>
  </si>
  <si>
    <t>Enable Provisioned Concurrency for mission-critical Lambdas under test; use AWS SAM local for unit/integration tests to eliminate cold start variance in CI; flag cold-start failures as environment issues, not defects</t>
  </si>
  <si>
    <t>LocalStack / AWS service mocking drift from production</t>
  </si>
  <si>
    <t>LocalStack (used to mock DynamoDB, SQS, S3 in test environments) may not be fully feature-equivalent to production AWS services, causing tests to pass locally but fail in real AWS</t>
  </si>
  <si>
    <t>Run a subset of integration tests against real AWS services in a dedicated test account; maintain a LocalStack version-lock policy; document known LocalStack vs AWS behaviour gaps</t>
  </si>
  <si>
    <t>RISK HEAT SUMMARY:   Critical = 3   |   High = 4   |   Medium = 5   |   Low = 1   (13 risks total)</t>
  </si>
  <si>
    <t>Estimation Assumptions  |  COBOL → Azure TDD</t>
  </si>
  <si>
    <t xml:space="preserve">  Scope Assumptions</t>
  </si>
  <si>
    <t>ID</t>
  </si>
  <si>
    <t>Assumption</t>
  </si>
  <si>
    <t>Detail / Rationale</t>
  </si>
  <si>
    <t>Impact if Wrong</t>
  </si>
  <si>
    <t>AS-01</t>
  </si>
  <si>
    <t>TDD scope only</t>
  </si>
  <si>
    <t>This estimate covers test case execution, defect triage, fix verification, and test closure. It excludes: LLM prompt engineering, code migration, test infrastructure setup, UAT, performance testing, and security testing.</t>
  </si>
  <si>
    <t>AS-02</t>
  </si>
  <si>
    <t>LLM-generated scenarios</t>
  </si>
  <si>
    <t>LLM generates functional test scenarios. Testers review (~30min/TC), refine edge cases, and execute. Testers are not authoring scenarios from scratch — saving ~40% authoring effort.</t>
  </si>
  <si>
    <t>AS-03</t>
  </si>
  <si>
    <t>1:1 program mapping</t>
  </si>
  <si>
    <t>Each COBOL program maps roughly 1:1 to one or more Azure REST API operations. Cross-cutting concerns (OAuth, logging, monitoring) are tested separately.</t>
  </si>
  <si>
    <t>AS-04</t>
  </si>
  <si>
    <t>Automation harness ready</t>
  </si>
  <si>
    <t>A test automation harness (Karate / Postman-Newman / REST-assured) is available from sprint 0. Manual-only execution would increase effort by 2–3×.</t>
  </si>
  <si>
    <t xml:space="preserve">  Team &amp; Productivity Assumptions</t>
  </si>
  <si>
    <t>AS-05</t>
  </si>
  <si>
    <t>Senior tester profile</t>
  </si>
  <si>
    <t>Team is Senior SDET / Test Engineers. Junior QA would require a 1.3–1.5× productivity adjustment and additional review overhead.</t>
  </si>
  <si>
    <t>AS-06</t>
  </si>
  <si>
    <t>Productive hours</t>
  </si>
  <si>
    <t>7 productive hours per person-day (meetings, ceremonies, overhead deducted). Standard for agile financial services programmes.</t>
  </si>
  <si>
    <t>AS-07</t>
  </si>
  <si>
    <t>20 working days/month</t>
  </si>
  <si>
    <t>Public holidays and leave assumed at ~10% and factored into the person-month calculation.</t>
  </si>
  <si>
    <t>AS-08</t>
  </si>
  <si>
    <t>15% buffer included</t>
  </si>
  <si>
    <t>A 15% contingency is applied to all phase estimates. This accounts for environment issues, re-work, and unexpected complexity — but not a scope change.</t>
  </si>
  <si>
    <t xml:space="preserve">  Data &amp; Environment Assumptions</t>
  </si>
  <si>
    <t>AS-09</t>
  </si>
  <si>
    <t>Synthetic test data</t>
  </si>
  <si>
    <t>Test data is synthetic or appropriately masked for PII/PCI compliance. Effort for TDM tool setup and data generation is budgeted separately.</t>
  </si>
  <si>
    <t>AS-10</t>
  </si>
  <si>
    <t>Stable Azure environment</t>
  </si>
  <si>
    <t>Azure infrastructure is provisioned and stable during test execution windows. Environment instability is a listed risk (Risk #5).</t>
  </si>
  <si>
    <t>AS-11</t>
  </si>
  <si>
    <t>COBOL golden-run available</t>
  </si>
  <si>
    <t>Legacy COBOL golden-run outputs are available as a reference oracle for validating migrated code behaviour, particularly for numeric precision.</t>
  </si>
  <si>
    <t>AS-12</t>
  </si>
  <si>
    <t>Defect fix SLA met</t>
  </si>
  <si>
    <t>Defects are triaged, fixed by LLM/developer, and re-deployed within the same sprint. Multi-sprint fix cycles would inflate the estimate.</t>
  </si>
  <si>
    <t xml:space="preserve">  Out-of-Scope Items</t>
  </si>
  <si>
    <t>OOS-01</t>
  </si>
  <si>
    <t>Performance &amp; load testing</t>
  </si>
  <si>
    <t>Not included. Requires separate JMeter/Gatling workstream and Azure Load Testing infrastructure.</t>
  </si>
  <si>
    <t>—</t>
  </si>
  <si>
    <t>OOS-02</t>
  </si>
  <si>
    <t>Security / penetration testing</t>
  </si>
  <si>
    <t>Not included. Requires specialist security testers and separate DAST/SAST tooling budget.</t>
  </si>
  <si>
    <t>OOS-03</t>
  </si>
  <si>
    <t>Infrastructure-as-Code testing</t>
  </si>
  <si>
    <t>Terraform/Bicep validation is out of scope for TDD effort.</t>
  </si>
  <si>
    <t>OOS-04</t>
  </si>
  <si>
    <t>Production rollout &amp; hypercare</t>
  </si>
  <si>
    <t>Post-go-live support, monitoring, and incident response are excluded from this estimate.</t>
  </si>
  <si>
    <t>How to Use this Estimator</t>
  </si>
  <si>
    <t>Step 1 — Open the 📊 Estimator tab</t>
  </si>
  <si>
    <t>Enter your programme parameters in the blue input cells.</t>
  </si>
  <si>
    <t>• Number of COBOL programs (key volume driver)</t>
  </si>
  <si>
    <t>• Average test cases per program (use 10–25 for banking)</t>
  </si>
  <si>
    <t>• LLM defect rate (25–40% is industry norm for COBOL migration)</t>
  </si>
  <si>
    <t>• Fix cycles per defect, productive hours, delivery window, and buffer</t>
  </si>
  <si>
    <t>Step 2 — Set complexity profile dropdowns</t>
  </si>
  <si>
    <t>Select from the dropdowns in Section B:</t>
  </si>
  <si>
    <t>• Module complexity: Low / Medium / High</t>
  </si>
  <si>
    <t>• Integration surface: Low / Medium / High</t>
  </si>
  <si>
    <t>• Data complexity: Standard / Complex</t>
  </si>
  <si>
    <t>• Regulatory sensitivity: None / Moderate / High</t>
  </si>
  <si>
    <t>Each selection automatically adjusts the effort multiplier.</t>
  </si>
  <si>
    <t>Step 3 — Read the output</t>
  </si>
  <si>
    <t>Section C shows the per-phase person-day breakdown.</t>
  </si>
  <si>
    <t>Section D shows programme-level KPIs (total days, person-months, team size).</t>
  </si>
  <si>
    <t>Section E compares Best / Base / Worst case scenarios side by side.</t>
  </si>
  <si>
    <t>Step 4 — Review complexity guidelines</t>
  </si>
  <si>
    <t>Open 📋 Complexity Guidelines to understand what drives each multiplier</t>
  </si>
  <si>
    <t>and to calibrate your selections against the module type descriptions.</t>
  </si>
  <si>
    <t>Step 5 — Review and customise risks</t>
  </si>
  <si>
    <t>Open ⚠️ Risk Register to review the 10 pre-loaded risks.</t>
  </si>
  <si>
    <t>Update the Status column using the dropdown (Open / In Progress / Mitigated / Closed / Accepted).</t>
  </si>
  <si>
    <t>Add rows for programme-specific risks.</t>
  </si>
  <si>
    <t>Step 6 — Review assumptions</t>
  </si>
  <si>
    <t>Open 📝 Assumptions to understand what is in and out of scope.</t>
  </si>
  <si>
    <t>Highlight any assumption that does not hold for your programme</t>
  </si>
  <si>
    <t>and apply a manual adjustment factor to the total days figure.</t>
  </si>
  <si>
    <t>Colour coding</t>
  </si>
  <si>
    <t>Blue text / blue background = your input cells</t>
  </si>
  <si>
    <t>Black text = auto-calculated formula cells</t>
  </si>
  <si>
    <t>Do not overwrite formula cells — they will break the model.</t>
  </si>
  <si>
    <t>Benchmark Rationale &amp; Calibration  |  AWS Microservices TDD  |  COBOL Migration + LLM Code Gen</t>
  </si>
  <si>
    <t>AWS-specific calibration vs the Azure v2 baseline. Every delta is explained with a named source. Use this sheet to defend estimates to client steering committees and AWS partner reviews.</t>
  </si>
  <si>
    <t>Phase / Benchmark</t>
  </si>
  <si>
    <t>Azure v2 (baseline)</t>
  </si>
  <si>
    <t>AWS v1</t>
  </si>
  <si>
    <t>Delta vs Azure</t>
  </si>
  <si>
    <t>AWS-specific Rationale</t>
  </si>
  <si>
    <t>Sources (2024–2026)</t>
  </si>
  <si>
    <t>0.35 hrs/TC</t>
  </si>
  <si>
    <t>No change</t>
  </si>
  <si>
    <t>AWS API Gateway generates OpenAPI specs automatically — same quality of machine-readable contract as Azure API Management. LLM scenario triage effort is identical. No AWS-specific overhead here.</t>
  </si>
  <si>
    <t>Postman State of API 2024; AWS API Gateway OpenAPI export docs</t>
  </si>
  <si>
    <t>0.50 hrs/TC</t>
  </si>
  <si>
    <t>0.55 hrs/TC</t>
  </si>
  <si>
    <t>+10%</t>
  </si>
  <si>
    <t>DynamoDB's NoSQL schema (partition key + sort key design) is harder to seed with realistic banking data than Azure SQL / Cosmos DB. CloudFormation CDK fixtures for DynamoDB require more boilerplate than Azure ARM/Bicep. S3-backed VSAM replacements also add overhead. Bunnyshell 2026 confirms microservices test data setup is 'non-trivial' regardless of cloud.</t>
  </si>
  <si>
    <t>Bunnyshell E2E Guide 2026; AWS DynamoDB data modeling best practices; Blu Age VSAM migration docs</t>
  </si>
  <si>
    <t>0.75 hrs/TC</t>
  </si>
  <si>
    <t>0.80 hrs/TC</t>
  </si>
  <si>
    <t>+7%</t>
  </si>
  <si>
    <t>Lambda cold starts (100ms–1s per invocation per AWS docs) cause non-deterministic first-run test timings, generating false failures that must be triaged. Provisioned Concurrency mitigates this but adds cost and setup effort. CodePipeline parallel execution is slightly less configurable than Azure Pipelines for complex multi-stage test suites (G2 reviews 2026).</t>
  </si>
  <si>
    <t>AWS Lambda docs: cold start 100ms–1s; AWS CodePipeline G2 reviews 2026; Nerd Level Tech 2025</t>
  </si>
  <si>
    <t>Critical: AWS X-Ray SDKs enter maintenance mode February 2026 (InfoQ Nov 2025). Teams that begin TDD now must either: (a) use legacy X-Ray SDKs that will receive no new features, or (b) invest upfront in OpenTelemetry/ADOT migration. Either path adds triage friction. Azure App Insights remains fully supported. Once ADOT is fully adopted, this delta closes.</t>
  </si>
  <si>
    <t>InfoQ Nov 2025: 'X-Ray SDKs maintenance mode Feb 2026'; AWS ADOT migration guide; SigNoz 2026</t>
  </si>
  <si>
    <t>Fix verification &amp; regression (automated)</t>
  </si>
  <si>
    <t>0.40 hrs/TC</t>
  </si>
  <si>
    <t>0.45 hrs/TC</t>
  </si>
  <si>
    <t>+13%</t>
  </si>
  <si>
    <t>CodePipeline lacks native stage-by-stage tracking via API (noted in G2 reviews 2026), meaning testers must manually monitor console or set up SNS/CloudWatch alerts to track re-run results. Azure DevOps has a richer programmatic pipeline status API. This adds ~15–20 min/defect-cycle overhead for complex multi-stage pipelines.</t>
  </si>
  <si>
    <t>G2 AWS CodePipeline reviews 2026: 'lack of APIs to track proper progress per stage'</t>
  </si>
  <si>
    <t>Contract &amp; integration testing</t>
  </si>
  <si>
    <t>0.30 hrs/TC</t>
  </si>
  <si>
    <t>+17%</t>
  </si>
  <si>
    <t>LocalStack is the primary AWS service mock for offline testing (DynamoDB, SQS, S3, Lambda). LocalStack can drift from real AWS service behaviour — teams must maintain version locks and run a subset of tests against real AWS test-account services to validate. Azure has fewer mocking layers (WireMock directly for HTTP). Additional LocalStack maintenance and parity-checking overhead adds ~0.05 hrs/TC.</t>
  </si>
  <si>
    <t>LocalStack docs; Dev.to: AWS serverless testing 2023; Gravitee contract testing 2025</t>
  </si>
  <si>
    <t>0.20 hrs/TC</t>
  </si>
  <si>
    <t>AWS CodeBuild natively supports JUnit XML and Cucumber test reports, providing similar automatic traceability to Azure Test Plans. Manual audit evidence export effort is equivalent. No AWS-specific delta applies here.</t>
  </si>
  <si>
    <t>AWS CodeBuild test reports documentation; ISO 29119-3</t>
  </si>
  <si>
    <t>AWS Transform / Blu Age testing acceleration</t>
  </si>
  <si>
    <t>N/A (Azure)</t>
  </si>
  <si>
    <t>−0.15 hrs/TC offset (if used)</t>
  </si>
  <si>
    <t>AWS advantage</t>
  </si>
  <si>
    <t>If the customer uses AWS Transform for mainframe or AWS Blu Age, AWS provides automated test plan generation, test data collection scripts, and test case automation scripts (announced Dec 2025). This can offset 10–15% of review + data prep effort if adopted. This offset is NOT baked into the base figure — apply it as a credit if Transform is in scope.</t>
  </si>
  <si>
    <t>AWS blog Dec 2025: 'AWS Transform introduces automated testing functionality'; AWS Blu Age blog Sep 2024: testing consumes 60–70% of modernisation budget</t>
  </si>
  <si>
    <t>Overall blended total</t>
  </si>
  <si>
    <t>4.00 hrs/TC</t>
  </si>
  <si>
    <t>4.25 hrs/TC</t>
  </si>
  <si>
    <t>+6.25%</t>
  </si>
  <si>
    <t>AWS is marginally more effort-intensive than Azure for TDD in this context due to: (1) Lambda cold start false failures, (2) X-Ray SDK transition overhead, (3) DynamoDB seeding complexity, and (4) CodePipeline API tracking gaps. The gap narrows once ADOT migration is complete and Provisioned Concurrency is configured. If AWS Transform automated testing is used, the total can drop below the Azure baseline.</t>
  </si>
  <si>
    <t>Composite of all above sources</t>
  </si>
  <si>
    <t>KEY ASSUMPTION: Benchmarks assume 80% automation via Postman-Newman in AWS CodePipeline/CodeBuild, AWS X-Ray/ADOT for observability, and Provisioned Concurrency for Lambda under test. If automation &lt; 80%, apply manual rate (×2–3×) to non-automated portion. If AWS Transform automated testing is adopted, deduct 0.10–0.15 hrs/TC from review + data prep phases.</t>
  </si>
  <si>
    <t>AWS vs Azure TDD Effort Comparison  |  COBOL Modernisation + LLM Code Generation</t>
  </si>
  <si>
    <t>Head-to-head comparison of TDD effort drivers for the same COBOL modernisation programme deployed on AWS vs Azure. Both assume 100 programs, 15 TCs/program, 30% LLM defect rate, 80% automation.</t>
  </si>
  <si>
    <t>Azure v2 (hrs/TC)</t>
  </si>
  <si>
    <t>AWS v1 (hrs/TC)</t>
  </si>
  <si>
    <t>Delta</t>
  </si>
  <si>
    <t>Commentary</t>
  </si>
  <si>
    <t>TC review &amp; refinement</t>
  </si>
  <si>
    <t>=</t>
  </si>
  <si>
    <t>Both driven by OpenAPI spec quality and LLM scenario triage. Identical.</t>
  </si>
  <si>
    <t>▲+10%</t>
  </si>
  <si>
    <t>AWS DynamoDB NoSQL schema + VSAM-to-S3 migration = more complex seeding than Azure SQL/Cosmos DB.</t>
  </si>
  <si>
    <t>Test execution (automated)</t>
  </si>
  <si>
    <t>▲+7%</t>
  </si>
  <si>
    <t>Lambda cold starts (100ms–1s) cause non-deterministic first-run failures. Azure Functions warm faster.</t>
  </si>
  <si>
    <t>Test execution (manual)</t>
  </si>
  <si>
    <t>Human effort for complex banking rules is cloud-agnostic. Identical.</t>
  </si>
  <si>
    <t>Defect triage / RCA</t>
  </si>
  <si>
    <t>X-Ray SDKs → maintenance Feb 2026; OTel migration friction. Azure App Insights fully supported.</t>
  </si>
  <si>
    <t>Fix verification (automated)</t>
  </si>
  <si>
    <t>▲+13%</t>
  </si>
  <si>
    <t>CodePipeline stage tracking API gaps (G2 2026). Azure DevOps has richer programmatic status.</t>
  </si>
  <si>
    <t>Fix verification (manual)</t>
  </si>
  <si>
    <t>Cloud-agnostic. LLM defect rework complexity drives this, not platform.</t>
  </si>
  <si>
    <t>▲+17%</t>
  </si>
  <si>
    <t>LocalStack drift vs real AWS requires parity-check runs. Azure WireMock is simpler.</t>
  </si>
  <si>
    <t>CodeBuild JUnit XML ≈ Azure Test Plans traceability. Equivalent.</t>
  </si>
  <si>
    <t>AWS Transform testing offset</t>
  </si>
  <si>
    <t>▼ AWS advantage</t>
  </si>
  <si>
    <t>IF AWS Transform used: −0.10–0.15 hrs/TC auto test-gen. No Azure equivalent at same depth.</t>
  </si>
  <si>
    <t>BLENDED TOTAL</t>
  </si>
  <si>
    <t>▲+6.25%</t>
  </si>
  <si>
    <t>AWS is ~6% more effort without Transform. With Transform credit: AWS ≈ Azure or better.</t>
  </si>
  <si>
    <t>RECOMMENDATION: If the customer is already committed to AWS, the ~6% effort premium is acceptable and manageable via: (1) early ADOT migration before Sprint 1, (2) Provisioned Concurrency for critical Lambdas, (3) adopting AWS Transform automated test generation. With these mitigations, AWS and Azure TDD effort converge to near-parity.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</si>
</sst>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
    <numFmt numFmtId="166" formatCode="0.0"/>
    <numFmt numFmtId="167" formatCode="#,##0&quot; testers&quot;"/>
    <numFmt numFmtId="168" formatCode="0&quot; testers&quot;"/>
    <numFmt numFmtId="169" formatCode="0.0%;\(0.0%\);\-"/>
    <numFmt numFmtId="170" formatCode="0&quot;  projects&quot;"/>
    <numFmt numFmtId="171" formatCode="0.0%;\(0.0%\)"/>
  </numFmts>
  <fonts count="55" x14ac:knownFonts="1">
    <font>
      <sz val="11"/>
      <color theme="1"/>
      <name val="Calibri"/>
      <family val="2"/>
      <charset val="1"/>
    </font>
    <font>
      <b/>
      <sz val="16"/>
      <color rgb="FFFFFFFF"/>
      <name val="Arial"/>
      <charset val="1"/>
    </font>
    <font>
      <i/>
      <sz val="10"/>
      <color rgb="FF555555"/>
      <name val="Arial"/>
      <charset val="1"/>
    </font>
    <font>
      <b/>
      <sz val="12"/>
      <color rgb="FFFFFFFF"/>
      <name val="Arial"/>
      <charset val="1"/>
    </font>
    <font>
      <b/>
      <sz val="10"/>
      <color rgb="FFFFFFFF"/>
      <name val="Arial"/>
      <charset val="1"/>
    </font>
    <font>
      <sz val="10"/>
      <name val="Arial"/>
      <charset val="1"/>
    </font>
    <font>
      <b/>
      <sz val="11"/>
      <color rgb="FF833C00"/>
      <name val="Arial"/>
      <charset val="1"/>
    </font>
    <font>
      <sz val="10"/>
      <color rgb="FF333333"/>
      <name val="Arial"/>
      <charset val="1"/>
    </font>
    <font>
      <b/>
      <sz val="11"/>
      <color rgb="FF0000FF"/>
      <name val="Arial"/>
      <charset val="1"/>
    </font>
    <font>
      <b/>
      <sz val="11"/>
      <color rgb="FFFFFFFF"/>
      <name val="Arial"/>
      <charset val="1"/>
    </font>
    <font>
      <b/>
      <sz val="14"/>
      <color rgb="FFFFFFFF"/>
      <name val="Arial"/>
      <charset val="1"/>
    </font>
    <font>
      <i/>
      <sz val="10"/>
      <color rgb="FFFFFFFF"/>
      <name val="Arial"/>
      <charset val="1"/>
    </font>
    <font>
      <sz val="10"/>
      <color rgb="FF000000"/>
      <name val="Arial"/>
      <charset val="1"/>
    </font>
    <font>
      <b/>
      <sz val="10"/>
      <color rgb="FF0000FF"/>
      <name val="Arial"/>
      <charset val="1"/>
    </font>
    <font>
      <b/>
      <sz val="10"/>
      <name val="Arial"/>
      <charset val="1"/>
    </font>
    <font>
      <i/>
      <sz val="9"/>
      <color rgb="FF833C00"/>
      <name val="Arial"/>
      <charset val="1"/>
    </font>
    <font>
      <b/>
      <sz val="10"/>
      <color rgb="FF000000"/>
      <name val="Arial"/>
      <charset val="1"/>
    </font>
    <font>
      <i/>
      <sz val="9"/>
      <color rgb="FF444444"/>
      <name val="Arial"/>
      <charset val="1"/>
    </font>
    <font>
      <i/>
      <sz val="9"/>
      <color rgb="FF888888"/>
      <name val="Arial"/>
      <charset val="1"/>
    </font>
    <font>
      <i/>
      <sz val="9"/>
      <color rgb="FF555555"/>
      <name val="Arial"/>
      <charset val="1"/>
    </font>
    <font>
      <b/>
      <sz val="12"/>
      <color rgb="FF1F3864"/>
      <name val="Arial"/>
      <charset val="1"/>
    </font>
    <font>
      <i/>
      <sz val="10"/>
      <color rgb="FF888888"/>
      <name val="Arial"/>
      <charset val="1"/>
    </font>
    <font>
      <b/>
      <sz val="10"/>
      <color rgb="FF375623"/>
      <name val="Arial"/>
      <charset val="1"/>
    </font>
    <font>
      <sz val="10"/>
      <color rgb="FF375623"/>
      <name val="Arial"/>
      <charset val="1"/>
    </font>
    <font>
      <b/>
      <sz val="10"/>
      <color rgb="FF1F3864"/>
      <name val="Arial"/>
      <charset val="1"/>
    </font>
    <font>
      <sz val="10"/>
      <color rgb="FF1F3864"/>
      <name val="Arial"/>
      <charset val="1"/>
    </font>
    <font>
      <b/>
      <sz val="10"/>
      <color rgb="FF833C00"/>
      <name val="Arial"/>
      <charset val="1"/>
    </font>
    <font>
      <sz val="10"/>
      <color rgb="FF833C00"/>
      <name val="Arial"/>
      <charset val="1"/>
    </font>
    <font>
      <b/>
      <sz val="15"/>
      <color rgb="FFFFFFFF"/>
      <name val="Arial"/>
      <charset val="1"/>
    </font>
    <font>
      <i/>
      <sz val="9"/>
      <color rgb="FF232F3E"/>
      <name val="Arial"/>
      <charset val="1"/>
    </font>
    <font>
      <b/>
      <sz val="9"/>
      <color rgb="FFFFFFFF"/>
      <name val="Arial"/>
      <charset val="1"/>
    </font>
    <font>
      <b/>
      <sz val="10"/>
      <color rgb="FF888888"/>
      <name val="Arial"/>
      <charset val="1"/>
    </font>
    <font>
      <sz val="10"/>
      <color rgb="FF0000FF"/>
      <name val="Arial"/>
      <charset val="1"/>
    </font>
    <font>
      <b/>
      <sz val="11"/>
      <color rgb="FFFF9900"/>
      <name val="Arial"/>
      <charset val="1"/>
    </font>
    <font>
      <sz val="10"/>
      <color rgb="FFFFFFFF"/>
      <name val="Arial"/>
      <charset val="1"/>
    </font>
    <font>
      <b/>
      <sz val="9"/>
      <color rgb="FF222222"/>
      <name val="Arial"/>
      <charset val="1"/>
    </font>
    <font>
      <sz val="9"/>
      <color rgb="FF222222"/>
      <name val="Arial"/>
      <charset val="1"/>
    </font>
    <font>
      <sz val="10"/>
      <color rgb="FF222222"/>
      <name val="Arial"/>
      <charset val="1"/>
    </font>
    <font>
      <i/>
      <sz val="9"/>
      <color rgb="FF222222"/>
      <name val="Arial"/>
      <charset val="1"/>
    </font>
    <font>
      <i/>
      <sz val="9"/>
      <color rgb="FFFFFFFF"/>
      <name val="Arial"/>
      <charset val="1"/>
    </font>
    <font>
      <sz val="9"/>
      <color rgb="FF375623"/>
      <name val="Arial"/>
      <charset val="1"/>
    </font>
    <font>
      <b/>
      <sz val="9"/>
      <color rgb="FF375623"/>
      <name val="Arial"/>
      <charset val="1"/>
    </font>
    <font>
      <b/>
      <sz val="10"/>
      <color rgb="FF7F6000"/>
      <name val="Arial"/>
      <charset val="1"/>
    </font>
    <font>
      <sz val="10"/>
      <color rgb="FF7F6000"/>
      <name val="Arial"/>
      <charset val="1"/>
    </font>
    <font>
      <i/>
      <sz val="9"/>
      <color rgb="FF000000"/>
      <name val="Arial"/>
      <charset val="1"/>
    </font>
    <font>
      <i/>
      <sz val="9"/>
      <color rgb="FF333333"/>
      <name val="Arial"/>
      <charset val="1"/>
    </font>
    <font>
      <sz val="9"/>
      <color rgb="FF1F3864"/>
      <name val="Arial"/>
      <charset val="1"/>
    </font>
    <font>
      <b/>
      <sz val="10"/>
      <color rgb="FF2E5496"/>
      <name val="Arial"/>
      <charset val="1"/>
    </font>
    <font>
      <sz val="10"/>
      <color rgb="FF1A1A1A"/>
      <name val="Arial"/>
      <charset val="1"/>
    </font>
    <font>
      <i/>
      <sz val="10"/>
      <color rgb="FF444444"/>
      <name val="Arial"/>
      <charset val="1"/>
    </font>
    <font>
      <sz val="10"/>
      <color rgb="FF555555"/>
      <name val="Arial"/>
      <charset val="1"/>
    </font>
    <font>
      <b/>
      <i/>
      <sz val="10"/>
      <color rgb="FFFFFFFF"/>
      <name val="Arial"/>
      <charset val="1"/>
    </font>
    <font>
      <sz val="10"/>
      <color rgb="FF006280"/>
      <name val="Arial"/>
      <charset val="1"/>
    </font>
    <font>
      <sz val="10"/>
      <color rgb="FFFF9900"/>
      <name val="Arial"/>
      <charset val="1"/>
    </font>
    <font>
      <i/>
      <sz val="10"/>
      <color rgb="FF232F3E"/>
      <name val="Arial"/>
      <charset val="1"/>
    </font>
  </fonts>
  <fills count="29">
    <fill>
      <patternFill patternType="none"/>
    </fill>
    <fill>
      <patternFill patternType="gray125"/>
    </fill>
    <fill>
      <patternFill patternType="solid">
        <fgColor rgb="FF232F3E"/>
        <bgColor rgb="FF333333"/>
      </patternFill>
    </fill>
    <fill>
      <patternFill patternType="solid">
        <fgColor rgb="FF833C00"/>
        <bgColor rgb="FFA0522D"/>
      </patternFill>
    </fill>
    <fill>
      <patternFill patternType="solid">
        <fgColor rgb="FFA0522D"/>
        <bgColor rgb="FF7F6000"/>
      </patternFill>
    </fill>
    <fill>
      <patternFill patternType="solid">
        <fgColor rgb="FFFFF3E0"/>
        <bgColor rgb="FFFFF9E6"/>
      </patternFill>
    </fill>
    <fill>
      <patternFill patternType="solid">
        <fgColor rgb="FF2E5496"/>
        <bgColor rgb="FF1A6B75"/>
      </patternFill>
    </fill>
    <fill>
      <patternFill patternType="solid">
        <fgColor rgb="FFEBF3FB"/>
        <bgColor rgb="FFF0F5FF"/>
      </patternFill>
    </fill>
    <fill>
      <patternFill patternType="solid">
        <fgColor rgb="FF375623"/>
        <bgColor rgb="FF4A4A4A"/>
      </patternFill>
    </fill>
    <fill>
      <patternFill patternType="solid">
        <fgColor rgb="FF1A6B75"/>
        <bgColor rgb="FF006280"/>
      </patternFill>
    </fill>
    <fill>
      <patternFill patternType="solid">
        <fgColor rgb="FF1F3864"/>
        <bgColor rgb="FF232F3E"/>
      </patternFill>
    </fill>
    <fill>
      <patternFill patternType="solid">
        <fgColor rgb="FFD6E4F7"/>
        <bgColor rgb="FFE0F4F4"/>
      </patternFill>
    </fill>
    <fill>
      <patternFill patternType="solid">
        <fgColor rgb="FFE2EFDA"/>
        <bgColor rgb="FFE0F4F4"/>
      </patternFill>
    </fill>
    <fill>
      <patternFill patternType="solid">
        <fgColor rgb="FFFCE4D6"/>
        <bgColor rgb="FFFFF2CC"/>
      </patternFill>
    </fill>
    <fill>
      <patternFill patternType="solid">
        <fgColor rgb="FF444444"/>
        <bgColor rgb="FF4A4A4A"/>
      </patternFill>
    </fill>
    <fill>
      <patternFill patternType="solid">
        <fgColor rgb="FF5B2D8E"/>
        <bgColor rgb="FF444444"/>
      </patternFill>
    </fill>
    <fill>
      <patternFill patternType="solid">
        <fgColor rgb="FF4A4A4A"/>
        <bgColor rgb="FF444444"/>
      </patternFill>
    </fill>
    <fill>
      <patternFill patternType="solid">
        <fgColor rgb="FFF2F4F7"/>
        <bgColor rgb="FFF2F7FB"/>
      </patternFill>
    </fill>
    <fill>
      <patternFill patternType="solid">
        <fgColor rgb="FFE0F4F4"/>
        <bgColor rgb="FFE0F7FA"/>
      </patternFill>
    </fill>
    <fill>
      <patternFill patternType="solid">
        <fgColor rgb="FFFFFFFF"/>
        <bgColor rgb="FFFAFAFA"/>
      </patternFill>
    </fill>
    <fill>
      <patternFill patternType="solid">
        <fgColor rgb="FFF2F7FB"/>
        <bgColor rgb="FFF0F5FF"/>
      </patternFill>
    </fill>
    <fill>
      <patternFill patternType="solid">
        <fgColor rgb="FFFFF2CC"/>
        <bgColor rgb="FFFFF3E0"/>
      </patternFill>
    </fill>
    <fill>
      <patternFill patternType="solid">
        <fgColor rgb="FFFAFAFA"/>
        <bgColor rgb="FFF7F9FC"/>
      </patternFill>
    </fill>
    <fill>
      <patternFill patternType="solid">
        <fgColor rgb="FFF0F5FF"/>
        <bgColor rgb="FFF2F7FB"/>
      </patternFill>
    </fill>
    <fill>
      <patternFill patternType="solid">
        <fgColor rgb="FFFFF9E6"/>
        <bgColor rgb="FFFFF8F0"/>
      </patternFill>
    </fill>
    <fill>
      <patternFill patternType="solid">
        <fgColor rgb="FFF7F9FC"/>
        <bgColor rgb="FFFAFAFA"/>
      </patternFill>
    </fill>
    <fill>
      <patternFill patternType="solid">
        <fgColor rgb="FF7F6000"/>
        <bgColor rgb="FFA0522D"/>
      </patternFill>
    </fill>
    <fill>
      <patternFill patternType="solid">
        <fgColor rgb="FFFFF8F0"/>
        <bgColor rgb="FFFFF9E6"/>
      </patternFill>
    </fill>
    <fill>
      <patternFill patternType="solid">
        <fgColor rgb="FFE0F7FA"/>
        <bgColor rgb="FFE0F4F4"/>
      </patternFill>
    </fill>
  </fills>
  <borders count="4">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medium">
        <color rgb="FF555555"/>
      </left>
      <right style="medium">
        <color rgb="FF555555"/>
      </right>
      <top style="medium">
        <color rgb="FF555555"/>
      </top>
      <bottom style="medium">
        <color rgb="FF555555"/>
      </bottom>
      <diagonal/>
    </border>
  </borders>
  <cellStyleXfs count="1">
    <xf numFmtId="0" fontId="0" fillId="0" borderId="0"/>
  </cellStyleXfs>
  <cellXfs count="216">
    <xf numFmtId="0" fontId="0" fillId="0" borderId="0" xfId="0"/>
    <xf numFmtId="0" fontId="30" fillId="9" borderId="2" xfId="0" applyFont="1" applyFill="1" applyBorder="1" applyAlignment="1">
      <alignment horizontal="center" vertical="center" wrapText="1"/>
    </xf>
    <xf numFmtId="0" fontId="30" fillId="6" borderId="2" xfId="0" applyFont="1" applyFill="1" applyBorder="1" applyAlignment="1">
      <alignment horizontal="center" vertical="center" wrapText="1"/>
    </xf>
    <xf numFmtId="0" fontId="30" fillId="2" borderId="2" xfId="0" applyFont="1" applyFill="1" applyBorder="1" applyAlignment="1">
      <alignment horizontal="center" vertical="center" wrapText="1"/>
    </xf>
    <xf numFmtId="0" fontId="29" fillId="5" borderId="1" xfId="0" applyFont="1" applyFill="1" applyBorder="1" applyAlignment="1">
      <alignment horizontal="left" vertical="center"/>
    </xf>
    <xf numFmtId="0" fontId="28" fillId="2" borderId="0" xfId="0" applyFont="1" applyFill="1" applyAlignment="1">
      <alignment horizontal="center" vertical="center"/>
    </xf>
    <xf numFmtId="0" fontId="18" fillId="0" borderId="0" xfId="0" applyFont="1" applyAlignment="1">
      <alignment horizontal="center" vertical="center"/>
    </xf>
    <xf numFmtId="0" fontId="15" fillId="5" borderId="0" xfId="0" applyFont="1" applyFill="1" applyAlignment="1">
      <alignment horizontal="left" vertical="center"/>
    </xf>
    <xf numFmtId="0" fontId="3" fillId="10" borderId="1" xfId="0" applyFont="1" applyFill="1" applyBorder="1" applyAlignment="1">
      <alignment horizontal="left" vertical="center"/>
    </xf>
    <xf numFmtId="0" fontId="3" fillId="9" borderId="1" xfId="0" applyFont="1" applyFill="1" applyBorder="1" applyAlignment="1">
      <alignment horizontal="left" vertical="center"/>
    </xf>
    <xf numFmtId="0" fontId="3" fillId="8" borderId="1" xfId="0" applyFont="1" applyFill="1" applyBorder="1" applyAlignment="1">
      <alignment horizontal="left" vertical="center"/>
    </xf>
    <xf numFmtId="0" fontId="3" fillId="6" borderId="1" xfId="0" applyFont="1" applyFill="1" applyBorder="1" applyAlignment="1">
      <alignment horizontal="left" vertical="center"/>
    </xf>
    <xf numFmtId="0" fontId="3" fillId="3" borderId="1" xfId="0" applyFont="1" applyFill="1" applyBorder="1" applyAlignment="1">
      <alignment horizontal="left" vertical="center"/>
    </xf>
    <xf numFmtId="0" fontId="2" fillId="0" borderId="0" xfId="0" applyFont="1" applyAlignment="1">
      <alignment horizontal="center" vertical="center"/>
    </xf>
    <xf numFmtId="0" fontId="1" fillId="2" borderId="0" xfId="0" applyFont="1" applyFill="1" applyAlignment="1">
      <alignment horizontal="center" vertical="center"/>
    </xf>
    <xf numFmtId="0" fontId="4" fillId="4" borderId="2" xfId="0" applyFont="1" applyFill="1" applyBorder="1" applyAlignment="1">
      <alignment horizontal="center" vertical="center" wrapText="1"/>
    </xf>
    <xf numFmtId="0" fontId="0" fillId="0" borderId="2" xfId="0" applyBorder="1"/>
    <xf numFmtId="0" fontId="5" fillId="0" borderId="2" xfId="0" applyFont="1" applyBorder="1" applyAlignment="1">
      <alignment horizontal="left" vertical="center"/>
    </xf>
    <xf numFmtId="0" fontId="6" fillId="5" borderId="2" xfId="0" applyFont="1" applyFill="1" applyBorder="1" applyAlignment="1">
      <alignment horizontal="center" vertical="center"/>
    </xf>
    <xf numFmtId="0" fontId="7" fillId="0" borderId="2" xfId="0" applyFont="1" applyBorder="1" applyAlignment="1">
      <alignment horizontal="center" vertical="center"/>
    </xf>
    <xf numFmtId="0" fontId="2" fillId="0" borderId="2" xfId="0" applyFont="1" applyBorder="1" applyAlignment="1">
      <alignment horizontal="left" vertical="center"/>
    </xf>
    <xf numFmtId="0" fontId="8" fillId="7" borderId="2" xfId="0" applyFont="1" applyFill="1" applyBorder="1" applyAlignment="1">
      <alignment horizontal="center" vertical="center"/>
    </xf>
    <xf numFmtId="0" fontId="9" fillId="2" borderId="2" xfId="0" applyFont="1" applyFill="1" applyBorder="1" applyAlignment="1">
      <alignment horizontal="left" vertical="center"/>
    </xf>
    <xf numFmtId="3" fontId="10" fillId="2" borderId="2" xfId="0" applyNumberFormat="1" applyFont="1" applyFill="1" applyBorder="1" applyAlignment="1">
      <alignment horizontal="center" vertical="center"/>
    </xf>
    <xf numFmtId="0" fontId="4" fillId="2" borderId="2" xfId="0" applyFont="1" applyFill="1" applyBorder="1" applyAlignment="1">
      <alignment horizontal="center" vertical="center"/>
    </xf>
    <xf numFmtId="0" fontId="11" fillId="2" borderId="2" xfId="0" applyFont="1" applyFill="1" applyBorder="1" applyAlignment="1">
      <alignment horizontal="left" vertical="center"/>
    </xf>
    <xf numFmtId="0" fontId="0" fillId="2" borderId="2" xfId="0" applyFill="1" applyBorder="1"/>
    <xf numFmtId="0" fontId="4" fillId="6" borderId="2" xfId="0" applyFont="1" applyFill="1" applyBorder="1" applyAlignment="1">
      <alignment horizontal="center" vertical="center" wrapText="1"/>
    </xf>
    <xf numFmtId="0" fontId="12" fillId="0" borderId="2" xfId="0" applyFont="1" applyBorder="1" applyAlignment="1">
      <alignment horizontal="left" vertical="center"/>
    </xf>
    <xf numFmtId="0" fontId="13" fillId="7" borderId="2" xfId="0" applyFont="1" applyFill="1" applyBorder="1" applyAlignment="1">
      <alignment horizontal="center" vertical="center"/>
    </xf>
    <xf numFmtId="164" fontId="14" fillId="0" borderId="2" xfId="0" applyNumberFormat="1" applyFont="1" applyBorder="1" applyAlignment="1">
      <alignment horizontal="center" vertical="center"/>
    </xf>
    <xf numFmtId="0" fontId="16" fillId="0" borderId="2" xfId="0" applyFont="1" applyBorder="1" applyAlignment="1">
      <alignment horizontal="left" vertical="center" wrapText="1"/>
    </xf>
    <xf numFmtId="0" fontId="17" fillId="0" borderId="2" xfId="0" applyFont="1" applyBorder="1" applyAlignment="1">
      <alignment horizontal="left" vertical="center" wrapText="1"/>
    </xf>
    <xf numFmtId="2" fontId="5" fillId="0" borderId="2" xfId="0" applyNumberFormat="1" applyFont="1" applyBorder="1" applyAlignment="1">
      <alignment horizontal="center" vertical="center"/>
    </xf>
    <xf numFmtId="2" fontId="0" fillId="0" borderId="2" xfId="0" applyNumberFormat="1" applyBorder="1" applyAlignment="1">
      <alignment horizontal="center" vertical="center"/>
    </xf>
    <xf numFmtId="3" fontId="0" fillId="0" borderId="2" xfId="0" applyNumberFormat="1" applyBorder="1" applyAlignment="1">
      <alignment horizontal="center" vertical="center"/>
    </xf>
    <xf numFmtId="165" fontId="0" fillId="0" borderId="2" xfId="0" applyNumberFormat="1" applyBorder="1" applyAlignment="1">
      <alignment horizontal="center" vertical="center"/>
    </xf>
    <xf numFmtId="0" fontId="18" fillId="0" borderId="2" xfId="0" applyFont="1" applyBorder="1" applyAlignment="1">
      <alignment horizontal="left" vertical="center" wrapText="1"/>
    </xf>
    <xf numFmtId="0" fontId="9" fillId="10" borderId="2" xfId="0" applyFont="1" applyFill="1" applyBorder="1" applyAlignment="1">
      <alignment horizontal="left" vertical="center"/>
    </xf>
    <xf numFmtId="0" fontId="9" fillId="10" borderId="2" xfId="0" applyFont="1" applyFill="1" applyBorder="1" applyAlignment="1">
      <alignment horizontal="center" vertical="center"/>
    </xf>
    <xf numFmtId="3" fontId="9" fillId="10" borderId="2" xfId="0" applyNumberFormat="1" applyFont="1" applyFill="1" applyBorder="1" applyAlignment="1">
      <alignment horizontal="center" vertical="center"/>
    </xf>
    <xf numFmtId="0" fontId="16" fillId="0" borderId="2" xfId="0" applyFont="1" applyBorder="1" applyAlignment="1">
      <alignment horizontal="left" vertical="center"/>
    </xf>
    <xf numFmtId="3" fontId="19" fillId="0" borderId="2" xfId="0" applyNumberFormat="1" applyFont="1" applyBorder="1" applyAlignment="1">
      <alignment horizontal="left" vertical="center"/>
    </xf>
    <xf numFmtId="3" fontId="20" fillId="11" borderId="3" xfId="0" applyNumberFormat="1" applyFont="1" applyFill="1" applyBorder="1" applyAlignment="1">
      <alignment horizontal="center" vertical="center"/>
    </xf>
    <xf numFmtId="0" fontId="21" fillId="0" borderId="2" xfId="0" applyFont="1" applyBorder="1" applyAlignment="1">
      <alignment horizontal="center" vertical="center"/>
    </xf>
    <xf numFmtId="0" fontId="19" fillId="0" borderId="2" xfId="0" applyFont="1" applyBorder="1" applyAlignment="1">
      <alignment horizontal="left" vertical="center"/>
    </xf>
    <xf numFmtId="166" fontId="20" fillId="11" borderId="3" xfId="0" applyNumberFormat="1" applyFont="1" applyFill="1" applyBorder="1" applyAlignment="1">
      <alignment horizontal="center" vertical="center"/>
    </xf>
    <xf numFmtId="167" fontId="20" fillId="11" borderId="3" xfId="0" applyNumberFormat="1" applyFont="1" applyFill="1" applyBorder="1" applyAlignment="1">
      <alignment horizontal="center" vertical="center"/>
    </xf>
    <xf numFmtId="2" fontId="20" fillId="11" borderId="3" xfId="0" applyNumberFormat="1" applyFont="1" applyFill="1" applyBorder="1" applyAlignment="1">
      <alignment horizontal="center" vertical="center"/>
    </xf>
    <xf numFmtId="49" fontId="22" fillId="12" borderId="2" xfId="0" applyNumberFormat="1" applyFont="1" applyFill="1" applyBorder="1" applyAlignment="1">
      <alignment horizontal="center" vertical="center"/>
    </xf>
    <xf numFmtId="49" fontId="22" fillId="12" borderId="2" xfId="0" applyNumberFormat="1" applyFont="1" applyFill="1" applyBorder="1" applyAlignment="1">
      <alignment horizontal="left" vertical="center" wrapText="1"/>
    </xf>
    <xf numFmtId="3" fontId="23" fillId="12" borderId="2" xfId="0" applyNumberFormat="1" applyFont="1" applyFill="1" applyBorder="1" applyAlignment="1">
      <alignment horizontal="center" vertical="center"/>
    </xf>
    <xf numFmtId="168" fontId="23" fillId="12" borderId="2" xfId="0" applyNumberFormat="1" applyFont="1" applyFill="1" applyBorder="1" applyAlignment="1">
      <alignment horizontal="center" vertical="center"/>
    </xf>
    <xf numFmtId="49" fontId="23" fillId="12" borderId="2" xfId="0" applyNumberFormat="1" applyFont="1" applyFill="1" applyBorder="1" applyAlignment="1">
      <alignment horizontal="center" vertical="center"/>
    </xf>
    <xf numFmtId="49" fontId="24" fillId="11" borderId="2" xfId="0" applyNumberFormat="1" applyFont="1" applyFill="1" applyBorder="1" applyAlignment="1">
      <alignment horizontal="center" vertical="center"/>
    </xf>
    <xf numFmtId="49" fontId="24" fillId="11" borderId="2" xfId="0" applyNumberFormat="1" applyFont="1" applyFill="1" applyBorder="1" applyAlignment="1">
      <alignment horizontal="left" vertical="center" wrapText="1"/>
    </xf>
    <xf numFmtId="3" fontId="25" fillId="11" borderId="2" xfId="0" applyNumberFormat="1" applyFont="1" applyFill="1" applyBorder="1" applyAlignment="1">
      <alignment horizontal="center" vertical="center"/>
    </xf>
    <xf numFmtId="168" fontId="25" fillId="11" borderId="2" xfId="0" applyNumberFormat="1" applyFont="1" applyFill="1" applyBorder="1" applyAlignment="1">
      <alignment horizontal="center" vertical="center"/>
    </xf>
    <xf numFmtId="49" fontId="25" fillId="11" borderId="2" xfId="0" applyNumberFormat="1" applyFont="1" applyFill="1" applyBorder="1" applyAlignment="1">
      <alignment horizontal="center" vertical="center"/>
    </xf>
    <xf numFmtId="49" fontId="26" fillId="13" borderId="2" xfId="0" applyNumberFormat="1" applyFont="1" applyFill="1" applyBorder="1" applyAlignment="1">
      <alignment horizontal="center" vertical="center"/>
    </xf>
    <xf numFmtId="49" fontId="26" fillId="13" borderId="2" xfId="0" applyNumberFormat="1" applyFont="1" applyFill="1" applyBorder="1" applyAlignment="1">
      <alignment horizontal="left" vertical="center" wrapText="1"/>
    </xf>
    <xf numFmtId="3" fontId="27" fillId="13" borderId="2" xfId="0" applyNumberFormat="1" applyFont="1" applyFill="1" applyBorder="1" applyAlignment="1">
      <alignment horizontal="center" vertical="center"/>
    </xf>
    <xf numFmtId="168" fontId="27" fillId="13" borderId="2" xfId="0" applyNumberFormat="1" applyFont="1" applyFill="1" applyBorder="1" applyAlignment="1">
      <alignment horizontal="center" vertical="center"/>
    </xf>
    <xf numFmtId="49" fontId="27" fillId="13" borderId="2" xfId="0" applyNumberFormat="1" applyFont="1" applyFill="1" applyBorder="1" applyAlignment="1">
      <alignment horizontal="center" vertical="center"/>
    </xf>
    <xf numFmtId="0" fontId="30" fillId="14" borderId="2" xfId="0" applyFont="1" applyFill="1" applyBorder="1" applyAlignment="1">
      <alignment horizontal="center" vertical="center" wrapText="1"/>
    </xf>
    <xf numFmtId="0" fontId="30" fillId="2" borderId="2" xfId="0" applyFont="1" applyFill="1" applyBorder="1" applyAlignment="1">
      <alignment horizontal="center" vertical="center" wrapText="1"/>
    </xf>
    <xf numFmtId="0" fontId="30" fillId="6" borderId="2" xfId="0" applyFont="1" applyFill="1" applyBorder="1" applyAlignment="1">
      <alignment horizontal="center" vertical="center" wrapText="1"/>
    </xf>
    <xf numFmtId="0" fontId="30" fillId="9" borderId="2" xfId="0" applyFont="1" applyFill="1" applyBorder="1" applyAlignment="1">
      <alignment horizontal="center" vertical="center" wrapText="1"/>
    </xf>
    <xf numFmtId="0" fontId="30" fillId="8" borderId="2" xfId="0" applyFont="1" applyFill="1" applyBorder="1" applyAlignment="1">
      <alignment horizontal="center" vertical="center" wrapText="1"/>
    </xf>
    <xf numFmtId="0" fontId="30" fillId="15" borderId="2"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10" borderId="2" xfId="0" applyFont="1" applyFill="1" applyBorder="1" applyAlignment="1">
      <alignment horizontal="center" vertical="center" wrapText="1"/>
    </xf>
    <xf numFmtId="0" fontId="30" fillId="16" borderId="2" xfId="0" applyFont="1" applyFill="1" applyBorder="1" applyAlignment="1">
      <alignment horizontal="center" vertical="center" wrapText="1"/>
    </xf>
    <xf numFmtId="0" fontId="31" fillId="17" borderId="2" xfId="0" applyFont="1" applyFill="1" applyBorder="1" applyAlignment="1">
      <alignment horizontal="center" vertical="center"/>
    </xf>
    <xf numFmtId="0" fontId="13" fillId="7" borderId="2" xfId="0" applyFont="1" applyFill="1" applyBorder="1" applyAlignment="1">
      <alignment horizontal="left" vertical="center" wrapText="1"/>
    </xf>
    <xf numFmtId="1" fontId="13" fillId="7" borderId="2" xfId="0" applyNumberFormat="1" applyFont="1" applyFill="1" applyBorder="1" applyAlignment="1">
      <alignment horizontal="center" vertical="center"/>
    </xf>
    <xf numFmtId="3" fontId="13" fillId="7" borderId="2" xfId="0" applyNumberFormat="1" applyFont="1" applyFill="1" applyBorder="1" applyAlignment="1">
      <alignment horizontal="center" vertical="center"/>
    </xf>
    <xf numFmtId="166" fontId="12" fillId="12" borderId="2" xfId="0" applyNumberFormat="1" applyFont="1" applyFill="1" applyBorder="1" applyAlignment="1">
      <alignment horizontal="center" vertical="center"/>
    </xf>
    <xf numFmtId="2" fontId="12" fillId="12" borderId="2" xfId="0" applyNumberFormat="1" applyFont="1" applyFill="1" applyBorder="1" applyAlignment="1">
      <alignment horizontal="center" vertical="center"/>
    </xf>
    <xf numFmtId="9" fontId="13" fillId="7" borderId="2" xfId="0" applyNumberFormat="1" applyFont="1" applyFill="1" applyBorder="1" applyAlignment="1">
      <alignment horizontal="center" vertical="center"/>
    </xf>
    <xf numFmtId="166" fontId="13" fillId="7" borderId="2" xfId="0" applyNumberFormat="1" applyFont="1" applyFill="1" applyBorder="1" applyAlignment="1">
      <alignment horizontal="center" vertical="center"/>
    </xf>
    <xf numFmtId="2" fontId="12" fillId="18" borderId="2" xfId="0" applyNumberFormat="1" applyFont="1" applyFill="1" applyBorder="1" applyAlignment="1">
      <alignment horizontal="center" vertical="center"/>
    </xf>
    <xf numFmtId="169" fontId="12" fillId="5" borderId="2" xfId="0" applyNumberFormat="1" applyFont="1" applyFill="1" applyBorder="1" applyAlignment="1">
      <alignment horizontal="center" vertical="center"/>
    </xf>
    <xf numFmtId="0" fontId="19" fillId="17" borderId="2" xfId="0" applyFont="1" applyFill="1" applyBorder="1" applyAlignment="1">
      <alignment horizontal="left" vertical="center" wrapText="1"/>
    </xf>
    <xf numFmtId="0" fontId="31" fillId="19" borderId="2" xfId="0" applyFont="1" applyFill="1" applyBorder="1" applyAlignment="1">
      <alignment horizontal="center" vertical="center"/>
    </xf>
    <xf numFmtId="0" fontId="19" fillId="19" borderId="2" xfId="0" applyFont="1" applyFill="1" applyBorder="1" applyAlignment="1">
      <alignment horizontal="left" vertical="center" wrapText="1"/>
    </xf>
    <xf numFmtId="0" fontId="32" fillId="7" borderId="2" xfId="0" applyFont="1" applyFill="1" applyBorder="1" applyAlignment="1">
      <alignment horizontal="center" vertical="center"/>
    </xf>
    <xf numFmtId="170" fontId="33" fillId="2" borderId="2" xfId="0" applyNumberFormat="1" applyFont="1" applyFill="1" applyBorder="1" applyAlignment="1">
      <alignment horizontal="center" vertical="center"/>
    </xf>
    <xf numFmtId="0" fontId="34" fillId="2" borderId="2" xfId="0" applyFont="1" applyFill="1" applyBorder="1"/>
    <xf numFmtId="3" fontId="4" fillId="2" borderId="2" xfId="0" applyNumberFormat="1" applyFont="1" applyFill="1" applyBorder="1" applyAlignment="1">
      <alignment horizontal="center" vertical="center"/>
    </xf>
    <xf numFmtId="166" fontId="4" fillId="2" borderId="2" xfId="0" applyNumberFormat="1" applyFont="1" applyFill="1" applyBorder="1" applyAlignment="1">
      <alignment horizontal="center" vertical="center"/>
    </xf>
    <xf numFmtId="2" fontId="4" fillId="2" borderId="2" xfId="0" applyNumberFormat="1" applyFont="1" applyFill="1" applyBorder="1" applyAlignment="1">
      <alignment horizontal="center" vertical="center"/>
    </xf>
    <xf numFmtId="9" fontId="4" fillId="2" borderId="2" xfId="0" applyNumberFormat="1" applyFont="1" applyFill="1" applyBorder="1" applyAlignment="1">
      <alignment horizontal="center" vertical="center"/>
    </xf>
    <xf numFmtId="171" fontId="4" fillId="2" borderId="2" xfId="0" applyNumberFormat="1" applyFont="1" applyFill="1" applyBorder="1" applyAlignment="1">
      <alignment horizontal="center" vertical="center"/>
    </xf>
    <xf numFmtId="0" fontId="16" fillId="19" borderId="2" xfId="0" applyFont="1" applyFill="1" applyBorder="1" applyAlignment="1">
      <alignment horizontal="left" vertical="center" wrapText="1"/>
    </xf>
    <xf numFmtId="0" fontId="12" fillId="19" borderId="2" xfId="0" applyFont="1" applyFill="1" applyBorder="1" applyAlignment="1">
      <alignment horizontal="left" vertical="center" wrapText="1"/>
    </xf>
    <xf numFmtId="0" fontId="16" fillId="20" borderId="2" xfId="0" applyFont="1" applyFill="1" applyBorder="1" applyAlignment="1">
      <alignment horizontal="left" vertical="center" wrapText="1"/>
    </xf>
    <xf numFmtId="0" fontId="12" fillId="20" borderId="2" xfId="0" applyFont="1" applyFill="1" applyBorder="1" applyAlignment="1">
      <alignment horizontal="left" vertical="center" wrapText="1"/>
    </xf>
    <xf numFmtId="0" fontId="22" fillId="12" borderId="2" xfId="0" applyFont="1" applyFill="1" applyBorder="1" applyAlignment="1">
      <alignment horizontal="center" vertical="center" wrapText="1"/>
    </xf>
    <xf numFmtId="0" fontId="23" fillId="12" borderId="2" xfId="0" applyFont="1" applyFill="1" applyBorder="1" applyAlignment="1">
      <alignment horizontal="left" vertical="center" wrapText="1"/>
    </xf>
    <xf numFmtId="0" fontId="42" fillId="21" borderId="2" xfId="0" applyFont="1" applyFill="1" applyBorder="1" applyAlignment="1">
      <alignment horizontal="center" vertical="center" wrapText="1"/>
    </xf>
    <xf numFmtId="0" fontId="43" fillId="21" borderId="2" xfId="0" applyFont="1" applyFill="1" applyBorder="1" applyAlignment="1">
      <alignment horizontal="left" vertical="center" wrapText="1"/>
    </xf>
    <xf numFmtId="0" fontId="26" fillId="13" borderId="2" xfId="0" applyFont="1" applyFill="1" applyBorder="1" applyAlignment="1">
      <alignment horizontal="center" vertical="center" wrapText="1"/>
    </xf>
    <xf numFmtId="0" fontId="27" fillId="13" borderId="2" xfId="0" applyFont="1" applyFill="1" applyBorder="1" applyAlignment="1">
      <alignment horizontal="left" vertical="center" wrapText="1"/>
    </xf>
    <xf numFmtId="49" fontId="16" fillId="19" borderId="2" xfId="0" applyNumberFormat="1" applyFont="1" applyFill="1" applyBorder="1" applyAlignment="1">
      <alignment horizontal="left" vertical="center" wrapText="1"/>
    </xf>
    <xf numFmtId="2" fontId="12" fillId="19" borderId="2" xfId="0" applyNumberFormat="1" applyFont="1" applyFill="1" applyBorder="1" applyAlignment="1">
      <alignment horizontal="center" vertical="center" wrapText="1"/>
    </xf>
    <xf numFmtId="49" fontId="44" fillId="19" borderId="2" xfId="0" applyNumberFormat="1" applyFont="1" applyFill="1" applyBorder="1" applyAlignment="1">
      <alignment horizontal="left" vertical="center" wrapText="1"/>
    </xf>
    <xf numFmtId="49" fontId="16" fillId="20" borderId="2" xfId="0" applyNumberFormat="1" applyFont="1" applyFill="1" applyBorder="1" applyAlignment="1">
      <alignment horizontal="left" vertical="center" wrapText="1"/>
    </xf>
    <xf numFmtId="2" fontId="12" fillId="20" borderId="2" xfId="0" applyNumberFormat="1" applyFont="1" applyFill="1" applyBorder="1" applyAlignment="1">
      <alignment horizontal="center" vertical="center" wrapText="1"/>
    </xf>
    <xf numFmtId="49" fontId="44" fillId="20" borderId="2" xfId="0" applyNumberFormat="1" applyFont="1" applyFill="1" applyBorder="1" applyAlignment="1">
      <alignment horizontal="left" vertical="center" wrapText="1"/>
    </xf>
    <xf numFmtId="49" fontId="4" fillId="2" borderId="2" xfId="0" applyNumberFormat="1" applyFont="1" applyFill="1" applyBorder="1" applyAlignment="1">
      <alignment horizontal="left" vertical="center" wrapText="1"/>
    </xf>
    <xf numFmtId="2" fontId="4" fillId="2" borderId="2" xfId="0" applyNumberFormat="1" applyFont="1" applyFill="1" applyBorder="1" applyAlignment="1">
      <alignment horizontal="center" vertical="center" wrapText="1"/>
    </xf>
    <xf numFmtId="49" fontId="30" fillId="2" borderId="2" xfId="0" applyNumberFormat="1" applyFont="1" applyFill="1" applyBorder="1" applyAlignment="1">
      <alignment horizontal="left" vertical="center" wrapText="1"/>
    </xf>
    <xf numFmtId="0" fontId="4" fillId="3" borderId="2" xfId="0" applyFont="1" applyFill="1" applyBorder="1" applyAlignment="1">
      <alignment horizontal="center" vertical="center" wrapText="1"/>
    </xf>
    <xf numFmtId="0" fontId="26" fillId="13" borderId="2" xfId="0" applyFont="1" applyFill="1" applyBorder="1" applyAlignment="1">
      <alignment horizontal="center" vertical="center"/>
    </xf>
    <xf numFmtId="0" fontId="24" fillId="19" borderId="2" xfId="0" applyFont="1" applyFill="1" applyBorder="1" applyAlignment="1">
      <alignment horizontal="left" vertical="top" wrapText="1"/>
    </xf>
    <xf numFmtId="0" fontId="45" fillId="22" borderId="2" xfId="0" applyFont="1" applyFill="1" applyBorder="1" applyAlignment="1">
      <alignment horizontal="left" vertical="top" wrapText="1"/>
    </xf>
    <xf numFmtId="0" fontId="42" fillId="13" borderId="2" xfId="0" applyFont="1" applyFill="1" applyBorder="1" applyAlignment="1">
      <alignment horizontal="center" vertical="center"/>
    </xf>
    <xf numFmtId="0" fontId="46" fillId="23" borderId="2" xfId="0" applyFont="1" applyFill="1" applyBorder="1" applyAlignment="1">
      <alignment horizontal="left" vertical="top" wrapText="1"/>
    </xf>
    <xf numFmtId="0" fontId="22" fillId="12" borderId="2" xfId="0" applyFont="1" applyFill="1" applyBorder="1" applyAlignment="1">
      <alignment horizontal="center" vertical="center"/>
    </xf>
    <xf numFmtId="0" fontId="42" fillId="21" borderId="2" xfId="0" applyFont="1" applyFill="1" applyBorder="1" applyAlignment="1">
      <alignment horizontal="center" vertical="center"/>
    </xf>
    <xf numFmtId="0" fontId="42" fillId="24" borderId="2" xfId="0" applyFont="1" applyFill="1" applyBorder="1" applyAlignment="1">
      <alignment horizontal="center" vertical="center"/>
    </xf>
    <xf numFmtId="0" fontId="42" fillId="12" borderId="2" xfId="0" applyFont="1" applyFill="1" applyBorder="1" applyAlignment="1">
      <alignment horizontal="center" vertical="center"/>
    </xf>
    <xf numFmtId="0" fontId="25" fillId="19" borderId="2" xfId="0" applyFont="1" applyFill="1" applyBorder="1" applyAlignment="1">
      <alignment horizontal="left" vertical="top" wrapText="1"/>
    </xf>
    <xf numFmtId="0" fontId="43" fillId="21" borderId="2" xfId="0" applyFont="1" applyFill="1" applyBorder="1" applyAlignment="1">
      <alignment horizontal="center" vertical="center" wrapText="1"/>
    </xf>
    <xf numFmtId="0" fontId="43" fillId="13" borderId="2" xfId="0" applyFont="1" applyFill="1" applyBorder="1" applyAlignment="1">
      <alignment horizontal="center" vertical="center" wrapText="1"/>
    </xf>
    <xf numFmtId="0" fontId="25" fillId="23" borderId="2" xfId="0" applyFont="1" applyFill="1" applyBorder="1" applyAlignment="1">
      <alignment horizontal="left" vertical="top" wrapText="1"/>
    </xf>
    <xf numFmtId="0" fontId="23" fillId="12" borderId="2" xfId="0" applyFont="1" applyFill="1" applyBorder="1" applyAlignment="1">
      <alignment horizontal="center" vertical="center" wrapText="1"/>
    </xf>
    <xf numFmtId="0" fontId="42" fillId="24" borderId="2" xfId="0" applyFont="1" applyFill="1" applyBorder="1" applyAlignment="1">
      <alignment horizontal="center" vertical="center" wrapText="1"/>
    </xf>
    <xf numFmtId="0" fontId="9" fillId="3" borderId="0" xfId="0" applyFont="1" applyFill="1" applyAlignment="1">
      <alignment horizontal="center" vertical="center"/>
    </xf>
    <xf numFmtId="0" fontId="47" fillId="19" borderId="2" xfId="0" applyFont="1" applyFill="1" applyBorder="1" applyAlignment="1">
      <alignment horizontal="center" vertical="top" wrapText="1"/>
    </xf>
    <xf numFmtId="0" fontId="16" fillId="19" borderId="2" xfId="0" applyFont="1" applyFill="1" applyBorder="1" applyAlignment="1">
      <alignment horizontal="left" vertical="top" wrapText="1"/>
    </xf>
    <xf numFmtId="0" fontId="12" fillId="19" borderId="2" xfId="0" applyFont="1" applyFill="1" applyBorder="1" applyAlignment="1">
      <alignment horizontal="left" vertical="top" wrapText="1"/>
    </xf>
    <xf numFmtId="0" fontId="47" fillId="25" borderId="2" xfId="0" applyFont="1" applyFill="1" applyBorder="1" applyAlignment="1">
      <alignment horizontal="center" vertical="top" wrapText="1"/>
    </xf>
    <xf numFmtId="0" fontId="16" fillId="25" borderId="2" xfId="0" applyFont="1" applyFill="1" applyBorder="1" applyAlignment="1">
      <alignment horizontal="left" vertical="top" wrapText="1"/>
    </xf>
    <xf numFmtId="0" fontId="12" fillId="25" borderId="2" xfId="0" applyFont="1" applyFill="1" applyBorder="1" applyAlignment="1">
      <alignment horizontal="left" vertical="top" wrapText="1"/>
    </xf>
    <xf numFmtId="0" fontId="4" fillId="8" borderId="2" xfId="0" applyFont="1" applyFill="1" applyBorder="1" applyAlignment="1">
      <alignment horizontal="center" vertical="center" wrapText="1"/>
    </xf>
    <xf numFmtId="0" fontId="22" fillId="19" borderId="2" xfId="0" applyFont="1" applyFill="1" applyBorder="1" applyAlignment="1">
      <alignment horizontal="center" vertical="top" wrapText="1"/>
    </xf>
    <xf numFmtId="0" fontId="22" fillId="25" borderId="2" xfId="0" applyFont="1" applyFill="1" applyBorder="1" applyAlignment="1">
      <alignment horizontal="center" vertical="top" wrapText="1"/>
    </xf>
    <xf numFmtId="0" fontId="4" fillId="26" borderId="2" xfId="0" applyFont="1" applyFill="1" applyBorder="1" applyAlignment="1">
      <alignment horizontal="center" vertical="center" wrapText="1"/>
    </xf>
    <xf numFmtId="0" fontId="42" fillId="19" borderId="2" xfId="0" applyFont="1" applyFill="1" applyBorder="1" applyAlignment="1">
      <alignment horizontal="center" vertical="top" wrapText="1"/>
    </xf>
    <xf numFmtId="0" fontId="42" fillId="25" borderId="2" xfId="0" applyFont="1" applyFill="1" applyBorder="1" applyAlignment="1">
      <alignment horizontal="center" vertical="top" wrapText="1"/>
    </xf>
    <xf numFmtId="0" fontId="26" fillId="19" borderId="2" xfId="0" applyFont="1" applyFill="1" applyBorder="1" applyAlignment="1">
      <alignment horizontal="center" vertical="top" wrapText="1"/>
    </xf>
    <xf numFmtId="0" fontId="26" fillId="25" borderId="2" xfId="0" applyFont="1" applyFill="1" applyBorder="1" applyAlignment="1">
      <alignment horizontal="center" vertical="top" wrapText="1"/>
    </xf>
    <xf numFmtId="0" fontId="9" fillId="6" borderId="2" xfId="0" applyFont="1" applyFill="1" applyBorder="1" applyAlignment="1">
      <alignment horizontal="left" vertical="center"/>
    </xf>
    <xf numFmtId="0" fontId="48" fillId="25" borderId="2"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50" fillId="19" borderId="2" xfId="0" applyFont="1" applyFill="1" applyBorder="1" applyAlignment="1">
      <alignment horizontal="center" vertical="top" wrapText="1"/>
    </xf>
    <xf numFmtId="0" fontId="25" fillId="19" borderId="2" xfId="0" applyFont="1" applyFill="1" applyBorder="1" applyAlignment="1">
      <alignment horizontal="center" vertical="top" wrapText="1"/>
    </xf>
    <xf numFmtId="0" fontId="22" fillId="12" borderId="2" xfId="0" applyFont="1" applyFill="1" applyBorder="1" applyAlignment="1">
      <alignment horizontal="center" vertical="top" wrapText="1"/>
    </xf>
    <xf numFmtId="0" fontId="36" fillId="19" borderId="2" xfId="0" applyFont="1" applyFill="1" applyBorder="1" applyAlignment="1">
      <alignment horizontal="left" vertical="top" wrapText="1"/>
    </xf>
    <xf numFmtId="0" fontId="19" fillId="19" borderId="2" xfId="0" applyFont="1" applyFill="1" applyBorder="1" applyAlignment="1">
      <alignment horizontal="left" vertical="top" wrapText="1"/>
    </xf>
    <xf numFmtId="0" fontId="24" fillId="27" borderId="2" xfId="0" applyFont="1" applyFill="1" applyBorder="1" applyAlignment="1">
      <alignment horizontal="left" vertical="top" wrapText="1"/>
    </xf>
    <xf numFmtId="0" fontId="50" fillId="27" borderId="2" xfId="0" applyFont="1" applyFill="1" applyBorder="1" applyAlignment="1">
      <alignment horizontal="center" vertical="top" wrapText="1"/>
    </xf>
    <xf numFmtId="0" fontId="25" fillId="27" borderId="2" xfId="0" applyFont="1" applyFill="1" applyBorder="1" applyAlignment="1">
      <alignment horizontal="center" vertical="top" wrapText="1"/>
    </xf>
    <xf numFmtId="0" fontId="26" fillId="13" borderId="2" xfId="0" applyFont="1" applyFill="1" applyBorder="1" applyAlignment="1">
      <alignment horizontal="center" vertical="top" wrapText="1"/>
    </xf>
    <xf numFmtId="0" fontId="36" fillId="27" borderId="2" xfId="0" applyFont="1" applyFill="1" applyBorder="1" applyAlignment="1">
      <alignment horizontal="left" vertical="top" wrapText="1"/>
    </xf>
    <xf numFmtId="0" fontId="19" fillId="27" borderId="2" xfId="0" applyFont="1" applyFill="1" applyBorder="1" applyAlignment="1">
      <alignment horizontal="left" vertical="top" wrapText="1"/>
    </xf>
    <xf numFmtId="2" fontId="52" fillId="19" borderId="2" xfId="0" applyNumberFormat="1" applyFont="1" applyFill="1" applyBorder="1" applyAlignment="1">
      <alignment horizontal="center" vertical="center" wrapText="1"/>
    </xf>
    <xf numFmtId="2" fontId="53" fillId="19" borderId="2" xfId="0" applyNumberFormat="1" applyFont="1" applyFill="1" applyBorder="1" applyAlignment="1">
      <alignment horizontal="center" vertical="center" wrapText="1"/>
    </xf>
    <xf numFmtId="49" fontId="52" fillId="28" borderId="2" xfId="0" applyNumberFormat="1" applyFont="1" applyFill="1" applyBorder="1" applyAlignment="1">
      <alignment horizontal="center" vertical="center" wrapText="1"/>
    </xf>
    <xf numFmtId="49" fontId="45" fillId="19" borderId="2" xfId="0" applyNumberFormat="1" applyFont="1" applyFill="1" applyBorder="1" applyAlignment="1">
      <alignment horizontal="left" vertical="center" wrapText="1"/>
    </xf>
    <xf numFmtId="49" fontId="16" fillId="27" borderId="2" xfId="0" applyNumberFormat="1" applyFont="1" applyFill="1" applyBorder="1" applyAlignment="1">
      <alignment horizontal="left" vertical="center" wrapText="1"/>
    </xf>
    <xf numFmtId="2" fontId="52" fillId="27" borderId="2" xfId="0" applyNumberFormat="1" applyFont="1" applyFill="1" applyBorder="1" applyAlignment="1">
      <alignment horizontal="center" vertical="center" wrapText="1"/>
    </xf>
    <xf numFmtId="2" fontId="53" fillId="27" borderId="2" xfId="0" applyNumberFormat="1" applyFont="1" applyFill="1" applyBorder="1" applyAlignment="1">
      <alignment horizontal="center" vertical="center" wrapText="1"/>
    </xf>
    <xf numFmtId="49" fontId="27" fillId="13" borderId="2" xfId="0" applyNumberFormat="1" applyFont="1" applyFill="1" applyBorder="1" applyAlignment="1">
      <alignment horizontal="center" vertical="center" wrapText="1"/>
    </xf>
    <xf numFmtId="49" fontId="45" fillId="27" borderId="2" xfId="0" applyNumberFormat="1" applyFont="1" applyFill="1" applyBorder="1" applyAlignment="1">
      <alignment horizontal="left" vertical="center" wrapText="1"/>
    </xf>
    <xf numFmtId="49" fontId="23" fillId="12" borderId="2" xfId="0" applyNumberFormat="1" applyFont="1" applyFill="1" applyBorder="1" applyAlignment="1">
      <alignment horizontal="center" vertical="center" wrapText="1"/>
    </xf>
    <xf numFmtId="49" fontId="26" fillId="13" borderId="2" xfId="0" applyNumberFormat="1" applyFont="1" applyFill="1" applyBorder="1" applyAlignment="1">
      <alignment horizontal="center" vertical="center" wrapText="1"/>
    </xf>
    <xf numFmtId="0" fontId="30" fillId="8" borderId="2" xfId="0" applyFont="1" applyFill="1" applyBorder="1" applyAlignment="1">
      <alignment horizontal="center" vertical="center" wrapText="1"/>
    </xf>
    <xf numFmtId="0" fontId="30" fillId="15" borderId="2"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10"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35" fillId="17" borderId="2" xfId="0" applyFont="1" applyFill="1" applyBorder="1" applyAlignment="1">
      <alignment horizontal="left" vertical="center"/>
    </xf>
    <xf numFmtId="166" fontId="12" fillId="12" borderId="2" xfId="0" applyNumberFormat="1" applyFont="1" applyFill="1" applyBorder="1" applyAlignment="1">
      <alignment horizontal="center" vertical="center"/>
    </xf>
    <xf numFmtId="166" fontId="12" fillId="7" borderId="2" xfId="0" applyNumberFormat="1" applyFont="1" applyFill="1" applyBorder="1" applyAlignment="1">
      <alignment horizontal="center" vertical="center"/>
    </xf>
    <xf numFmtId="2" fontId="12" fillId="7" borderId="2" xfId="0" applyNumberFormat="1" applyFont="1" applyFill="1" applyBorder="1" applyAlignment="1">
      <alignment horizontal="center" vertical="center"/>
    </xf>
    <xf numFmtId="166" fontId="24" fillId="11" borderId="2" xfId="0" applyNumberFormat="1" applyFont="1" applyFill="1" applyBorder="1" applyAlignment="1">
      <alignment horizontal="center" vertical="center"/>
    </xf>
    <xf numFmtId="0" fontId="19" fillId="17" borderId="2" xfId="0" applyFont="1" applyFill="1" applyBorder="1" applyAlignment="1">
      <alignment horizontal="left" vertical="center"/>
    </xf>
    <xf numFmtId="0" fontId="36" fillId="17" borderId="2" xfId="0" applyFont="1" applyFill="1" applyBorder="1" applyAlignment="1">
      <alignment horizontal="left" vertical="center"/>
    </xf>
    <xf numFmtId="165" fontId="37" fillId="17" borderId="2" xfId="0" applyNumberFormat="1" applyFont="1" applyFill="1" applyBorder="1" applyAlignment="1">
      <alignment horizontal="center" vertical="center"/>
    </xf>
    <xf numFmtId="166" fontId="37" fillId="17" borderId="2" xfId="0" applyNumberFormat="1" applyFont="1" applyFill="1" applyBorder="1" applyAlignment="1">
      <alignment horizontal="center" vertical="center"/>
    </xf>
    <xf numFmtId="3" fontId="37" fillId="17" borderId="2" xfId="0" applyNumberFormat="1" applyFont="1" applyFill="1" applyBorder="1" applyAlignment="1">
      <alignment horizontal="center" vertical="center"/>
    </xf>
    <xf numFmtId="0" fontId="38" fillId="17" borderId="2" xfId="0" applyFont="1" applyFill="1" applyBorder="1" applyAlignment="1">
      <alignment horizontal="left" vertical="center"/>
    </xf>
    <xf numFmtId="0" fontId="36" fillId="19" borderId="2" xfId="0" applyFont="1" applyFill="1" applyBorder="1" applyAlignment="1">
      <alignment horizontal="left" vertical="center"/>
    </xf>
    <xf numFmtId="165" fontId="37" fillId="19" borderId="2" xfId="0" applyNumberFormat="1" applyFont="1" applyFill="1" applyBorder="1" applyAlignment="1">
      <alignment horizontal="center" vertical="center"/>
    </xf>
    <xf numFmtId="166" fontId="37" fillId="19" borderId="2" xfId="0" applyNumberFormat="1" applyFont="1" applyFill="1" applyBorder="1" applyAlignment="1">
      <alignment horizontal="center" vertical="center"/>
    </xf>
    <xf numFmtId="3" fontId="37" fillId="19" borderId="2" xfId="0" applyNumberFormat="1" applyFont="1" applyFill="1" applyBorder="1" applyAlignment="1">
      <alignment horizontal="center" vertical="center"/>
    </xf>
    <xf numFmtId="0" fontId="38" fillId="19" borderId="2" xfId="0" applyFont="1" applyFill="1" applyBorder="1" applyAlignment="1">
      <alignment horizontal="left" vertical="center"/>
    </xf>
    <xf numFmtId="0" fontId="30" fillId="2" borderId="2" xfId="0" applyFont="1" applyFill="1" applyBorder="1" applyAlignment="1">
      <alignment horizontal="left" vertical="center"/>
    </xf>
    <xf numFmtId="165" fontId="4" fillId="2" borderId="2" xfId="0" applyNumberFormat="1" applyFont="1" applyFill="1" applyBorder="1" applyAlignment="1">
      <alignment horizontal="center" vertical="center"/>
    </xf>
    <xf numFmtId="166" fontId="4" fillId="2" borderId="2" xfId="0" applyNumberFormat="1" applyFont="1" applyFill="1" applyBorder="1" applyAlignment="1">
      <alignment horizontal="center" vertical="center"/>
    </xf>
    <xf numFmtId="3" fontId="4" fillId="2" borderId="2" xfId="0" applyNumberFormat="1" applyFont="1" applyFill="1" applyBorder="1" applyAlignment="1">
      <alignment horizontal="center" vertical="center"/>
    </xf>
    <xf numFmtId="0" fontId="39" fillId="2" borderId="2" xfId="0" applyFont="1" applyFill="1" applyBorder="1" applyAlignment="1">
      <alignment horizontal="left" vertical="center"/>
    </xf>
    <xf numFmtId="165" fontId="24" fillId="7" borderId="2" xfId="0" applyNumberFormat="1" applyFont="1" applyFill="1" applyBorder="1" applyAlignment="1">
      <alignment horizontal="center" vertical="center"/>
    </xf>
    <xf numFmtId="0" fontId="40" fillId="12" borderId="2" xfId="0" applyFont="1" applyFill="1" applyBorder="1" applyAlignment="1">
      <alignment horizontal="left" vertical="center" wrapText="1"/>
    </xf>
    <xf numFmtId="0" fontId="15" fillId="5" borderId="2" xfId="0" applyFont="1" applyFill="1" applyBorder="1" applyAlignment="1">
      <alignment horizontal="left" vertical="center" wrapText="1"/>
    </xf>
    <xf numFmtId="2" fontId="24" fillId="7" borderId="2" xfId="0" applyNumberFormat="1" applyFont="1" applyFill="1" applyBorder="1" applyAlignment="1">
      <alignment horizontal="center" vertical="center"/>
    </xf>
    <xf numFmtId="3" fontId="24" fillId="7" borderId="2" xfId="0" applyNumberFormat="1" applyFont="1" applyFill="1" applyBorder="1" applyAlignment="1">
      <alignment horizontal="center" vertical="center"/>
    </xf>
    <xf numFmtId="0" fontId="4" fillId="9" borderId="2" xfId="0" applyFont="1" applyFill="1" applyBorder="1" applyAlignment="1">
      <alignment horizontal="center" vertical="center" wrapText="1"/>
    </xf>
    <xf numFmtId="0" fontId="35" fillId="18" borderId="2" xfId="0" applyFont="1" applyFill="1" applyBorder="1" applyAlignment="1">
      <alignment horizontal="left" vertical="center"/>
    </xf>
    <xf numFmtId="0" fontId="41" fillId="12" borderId="2" xfId="0" applyFont="1" applyFill="1" applyBorder="1" applyAlignment="1">
      <alignment horizontal="left" vertical="center"/>
    </xf>
    <xf numFmtId="0" fontId="29" fillId="5" borderId="1" xfId="0" applyFont="1" applyFill="1" applyBorder="1" applyAlignment="1">
      <alignment horizontal="left" vertical="center" wrapText="1"/>
    </xf>
    <xf numFmtId="0" fontId="3" fillId="6" borderId="2" xfId="0" applyFont="1" applyFill="1" applyBorder="1" applyAlignment="1">
      <alignment horizontal="center" vertical="center"/>
    </xf>
    <xf numFmtId="0" fontId="28" fillId="3" borderId="0" xfId="0" applyFont="1" applyFill="1" applyAlignment="1">
      <alignment horizontal="center" vertical="center"/>
    </xf>
    <xf numFmtId="0" fontId="2" fillId="0" borderId="0" xfId="0" applyFont="1" applyAlignment="1">
      <alignment horizontal="left" vertical="center"/>
    </xf>
    <xf numFmtId="0" fontId="26" fillId="13" borderId="2" xfId="0" applyFont="1" applyFill="1" applyBorder="1" applyAlignment="1">
      <alignment horizontal="center" vertical="center" wrapText="1"/>
    </xf>
    <xf numFmtId="0" fontId="28" fillId="10" borderId="0" xfId="0" applyFont="1" applyFill="1" applyAlignment="1">
      <alignment horizontal="center" vertical="center"/>
    </xf>
    <xf numFmtId="0" fontId="3" fillId="8" borderId="2" xfId="0" applyFont="1" applyFill="1" applyBorder="1" applyAlignment="1">
      <alignment horizontal="center" vertical="center"/>
    </xf>
    <xf numFmtId="0" fontId="3" fillId="26" borderId="2" xfId="0" applyFont="1" applyFill="1" applyBorder="1" applyAlignment="1">
      <alignment horizontal="center" vertical="center"/>
    </xf>
    <xf numFmtId="0" fontId="3" fillId="3" borderId="2" xfId="0" applyFont="1" applyFill="1" applyBorder="1" applyAlignment="1">
      <alignment horizontal="center" vertical="center"/>
    </xf>
    <xf numFmtId="0" fontId="10" fillId="2" borderId="0" xfId="0" applyFont="1" applyFill="1" applyAlignment="1">
      <alignment horizontal="center" vertical="center"/>
    </xf>
    <xf numFmtId="0" fontId="49" fillId="0" borderId="0" xfId="0" applyFont="1" applyAlignment="1">
      <alignment horizontal="left" vertical="center" wrapText="1"/>
    </xf>
    <xf numFmtId="0" fontId="51" fillId="2" borderId="0" xfId="0" applyFont="1" applyFill="1" applyAlignment="1">
      <alignment horizontal="left" vertical="center" wrapText="1"/>
    </xf>
    <xf numFmtId="0" fontId="54" fillId="5"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8F0"/>
      <rgbColor rgb="FFFF00FF"/>
      <rgbColor rgb="FF00FFFF"/>
      <rgbColor rgb="FF800000"/>
      <rgbColor rgb="FF375623"/>
      <rgbColor rgb="FF232F3E"/>
      <rgbColor rgb="FF7F6000"/>
      <rgbColor rgb="FF800080"/>
      <rgbColor rgb="FF1A6B75"/>
      <rgbColor rgb="FFBFBFBF"/>
      <rgbColor rgb="FF888888"/>
      <rgbColor rgb="FFF0F5FF"/>
      <rgbColor rgb="FFA0522D"/>
      <rgbColor rgb="FFFFF9E6"/>
      <rgbColor rgb="FFE0F7FA"/>
      <rgbColor rgb="FF444444"/>
      <rgbColor rgb="FFFF8080"/>
      <rgbColor rgb="FF2E5496"/>
      <rgbColor rgb="FFD6E4F7"/>
      <rgbColor rgb="FF000080"/>
      <rgbColor rgb="FFFF00FF"/>
      <rgbColor rgb="FFFAFAFA"/>
      <rgbColor rgb="FF00FFFF"/>
      <rgbColor rgb="FF800080"/>
      <rgbColor rgb="FF800000"/>
      <rgbColor rgb="FF006280"/>
      <rgbColor rgb="FF0000FF"/>
      <rgbColor rgb="FF00CCFF"/>
      <rgbColor rgb="FFE0F4F4"/>
      <rgbColor rgb="FFE2EFDA"/>
      <rgbColor rgb="FFFFF2CC"/>
      <rgbColor rgb="FFEBF3FB"/>
      <rgbColor rgb="FFFFF3E0"/>
      <rgbColor rgb="FFF2F4F7"/>
      <rgbColor rgb="FFFCE4D6"/>
      <rgbColor rgb="FF3366FF"/>
      <rgbColor rgb="FF33CCCC"/>
      <rgbColor rgb="FF99CC00"/>
      <rgbColor rgb="FFF2F7FB"/>
      <rgbColor rgb="FFFF9900"/>
      <rgbColor rgb="FFFF6600"/>
      <rgbColor rgb="FF555555"/>
      <rgbColor rgb="FFF7F9FC"/>
      <rgbColor rgb="FF1F3864"/>
      <rgbColor rgb="FF339966"/>
      <rgbColor rgb="FF1A1A1A"/>
      <rgbColor rgb="FF222222"/>
      <rgbColor rgb="FF833C00"/>
      <rgbColor rgb="FF4A4A4A"/>
      <rgbColor rgb="FF5B2D8E"/>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32F3E"/>
  </sheetPr>
  <dimension ref="A1:I60"/>
  <sheetViews>
    <sheetView showGridLines="0" zoomScale="90" zoomScaleNormal="90" workbookViewId="0">
      <pane xSplit="1" ySplit="6" topLeftCell="B27" activePane="bottomRight" state="frozen"/>
      <selection pane="topRight" activeCell="B1" sqref="B1"/>
      <selection pane="bottomLeft" activeCell="A7" sqref="A7"/>
      <selection pane="bottomRight" activeCell="C28" sqref="C28"/>
    </sheetView>
  </sheetViews>
  <sheetFormatPr defaultColWidth="8.6328125" defaultRowHeight="14.5" x14ac:dyDescent="0.35"/>
  <cols>
    <col min="1" max="1" width="3" customWidth="1"/>
    <col min="2" max="2" width="32" customWidth="1"/>
    <col min="3" max="3" width="22" customWidth="1"/>
    <col min="4" max="7" width="18" customWidth="1"/>
    <col min="8" max="8" width="22" customWidth="1"/>
    <col min="9" max="9" width="5" customWidth="1"/>
  </cols>
  <sheetData>
    <row r="1" spans="1:9" ht="36" customHeight="1" x14ac:dyDescent="0.35">
      <c r="A1" s="14" t="s">
        <v>0</v>
      </c>
      <c r="B1" s="14"/>
      <c r="C1" s="14"/>
      <c r="D1" s="14"/>
      <c r="E1" s="14"/>
      <c r="F1" s="14"/>
      <c r="G1" s="14"/>
      <c r="H1" s="14"/>
      <c r="I1" s="14"/>
    </row>
    <row r="2" spans="1:9" ht="7.5" customHeight="1" x14ac:dyDescent="0.35">
      <c r="A2" s="14"/>
      <c r="B2" s="14"/>
      <c r="C2" s="14"/>
      <c r="D2" s="14"/>
      <c r="E2" s="14"/>
      <c r="F2" s="14"/>
      <c r="G2" s="14"/>
      <c r="H2" s="14"/>
      <c r="I2" s="14"/>
    </row>
    <row r="3" spans="1:9" ht="18" customHeight="1" x14ac:dyDescent="0.35">
      <c r="A3" s="13" t="s">
        <v>1</v>
      </c>
      <c r="B3" s="13"/>
      <c r="C3" s="13"/>
      <c r="D3" s="13"/>
      <c r="E3" s="13"/>
      <c r="F3" s="13"/>
      <c r="G3" s="13"/>
      <c r="H3" s="13"/>
      <c r="I3" s="13"/>
    </row>
    <row r="5" spans="1:9" ht="21.75" customHeight="1" x14ac:dyDescent="0.35">
      <c r="B5" s="12" t="s">
        <v>2</v>
      </c>
      <c r="C5" s="12"/>
      <c r="D5" s="12"/>
      <c r="E5" s="12"/>
      <c r="F5" s="12"/>
      <c r="G5" s="12"/>
      <c r="H5" s="12"/>
    </row>
    <row r="6" spans="1:9" ht="15" customHeight="1" x14ac:dyDescent="0.35">
      <c r="B6" s="15" t="s">
        <v>3</v>
      </c>
      <c r="C6" s="15" t="s">
        <v>4</v>
      </c>
      <c r="D6" s="15" t="s">
        <v>5</v>
      </c>
      <c r="E6" s="15" t="s">
        <v>6</v>
      </c>
      <c r="F6" s="16"/>
      <c r="G6" s="16"/>
      <c r="H6" s="16"/>
    </row>
    <row r="7" spans="1:9" ht="19.5" customHeight="1" x14ac:dyDescent="0.35">
      <c r="B7" s="17" t="s">
        <v>7</v>
      </c>
      <c r="C7" s="18" t="s">
        <v>8</v>
      </c>
      <c r="D7" s="19" t="s">
        <v>9</v>
      </c>
      <c r="E7" s="20" t="s">
        <v>10</v>
      </c>
      <c r="F7" s="16"/>
      <c r="G7" s="16"/>
      <c r="H7" s="16"/>
    </row>
    <row r="8" spans="1:9" ht="21.75" customHeight="1" x14ac:dyDescent="0.35">
      <c r="B8" s="11" t="s">
        <v>11</v>
      </c>
      <c r="C8" s="11"/>
      <c r="D8" s="11"/>
      <c r="E8" s="11"/>
      <c r="F8" s="11"/>
      <c r="G8" s="11"/>
      <c r="H8" s="11"/>
    </row>
    <row r="9" spans="1:9" ht="19.5" customHeight="1" x14ac:dyDescent="0.35">
      <c r="B9" s="17" t="s">
        <v>12</v>
      </c>
      <c r="C9" s="21">
        <v>100</v>
      </c>
      <c r="D9" s="19" t="s">
        <v>13</v>
      </c>
      <c r="E9" s="20" t="s">
        <v>14</v>
      </c>
      <c r="F9" s="16"/>
      <c r="G9" s="16"/>
      <c r="H9" s="16"/>
    </row>
    <row r="10" spans="1:9" ht="19.5" customHeight="1" x14ac:dyDescent="0.35">
      <c r="B10" s="17" t="s">
        <v>15</v>
      </c>
      <c r="C10" s="21">
        <v>15</v>
      </c>
      <c r="D10" s="19" t="s">
        <v>13</v>
      </c>
      <c r="E10" s="20" t="s">
        <v>16</v>
      </c>
      <c r="F10" s="16"/>
      <c r="G10" s="16"/>
      <c r="H10" s="16"/>
    </row>
    <row r="11" spans="1:9" ht="21.75" customHeight="1" x14ac:dyDescent="0.35">
      <c r="B11" s="10" t="s">
        <v>17</v>
      </c>
      <c r="C11" s="10"/>
      <c r="D11" s="10"/>
      <c r="E11" s="10"/>
      <c r="F11" s="10"/>
      <c r="G11" s="10"/>
      <c r="H11" s="10"/>
    </row>
    <row r="12" spans="1:9" ht="19.5" customHeight="1" x14ac:dyDescent="0.35">
      <c r="B12" s="17" t="s">
        <v>18</v>
      </c>
      <c r="C12" s="21">
        <v>500000</v>
      </c>
      <c r="D12" s="19" t="s">
        <v>13</v>
      </c>
      <c r="E12" s="20" t="s">
        <v>19</v>
      </c>
      <c r="F12" s="16"/>
      <c r="G12" s="16"/>
      <c r="H12" s="16"/>
    </row>
    <row r="13" spans="1:9" ht="19.5" customHeight="1" x14ac:dyDescent="0.35">
      <c r="B13" s="17" t="s">
        <v>20</v>
      </c>
      <c r="C13" s="21">
        <v>3</v>
      </c>
      <c r="D13" s="19" t="s">
        <v>21</v>
      </c>
      <c r="E13" s="20" t="s">
        <v>22</v>
      </c>
      <c r="F13" s="16"/>
      <c r="G13" s="16"/>
      <c r="H13" s="16"/>
    </row>
    <row r="14" spans="1:9" ht="21.75" customHeight="1" x14ac:dyDescent="0.35">
      <c r="B14" s="9" t="s">
        <v>23</v>
      </c>
      <c r="C14" s="9"/>
      <c r="D14" s="9"/>
      <c r="E14" s="9"/>
      <c r="F14" s="9"/>
      <c r="G14" s="9"/>
      <c r="H14" s="9"/>
    </row>
    <row r="15" spans="1:9" ht="19.5" customHeight="1" x14ac:dyDescent="0.35">
      <c r="B15" s="17" t="s">
        <v>24</v>
      </c>
      <c r="C15" s="21">
        <v>1500</v>
      </c>
      <c r="D15" s="19" t="s">
        <v>13</v>
      </c>
      <c r="E15" s="20" t="s">
        <v>25</v>
      </c>
      <c r="F15" s="16"/>
      <c r="G15" s="16"/>
      <c r="H15" s="16"/>
    </row>
    <row r="16" spans="1:9" ht="24" customHeight="1" x14ac:dyDescent="0.35">
      <c r="B16" s="22" t="s">
        <v>26</v>
      </c>
      <c r="C16" s="23">
        <f>IF(C7="By Programs",C9*C10,IF(C7="By LOC",ROUND(C12/1000*C13,0),IF(C7="Direct TC Count",C15,0)))</f>
        <v>1500</v>
      </c>
      <c r="D16" s="24" t="s">
        <v>27</v>
      </c>
      <c r="E16" s="25" t="s">
        <v>28</v>
      </c>
      <c r="F16" s="26"/>
      <c r="G16" s="26"/>
      <c r="H16" s="26"/>
    </row>
    <row r="18" spans="2:8" ht="21.75" customHeight="1" x14ac:dyDescent="0.35">
      <c r="B18" s="8" t="s">
        <v>29</v>
      </c>
      <c r="C18" s="8"/>
      <c r="D18" s="8"/>
      <c r="E18" s="8"/>
      <c r="F18" s="8"/>
      <c r="G18" s="8"/>
      <c r="H18" s="8"/>
    </row>
    <row r="19" spans="2:8" ht="15" customHeight="1" x14ac:dyDescent="0.35">
      <c r="B19" s="27" t="s">
        <v>3</v>
      </c>
      <c r="C19" s="27" t="s">
        <v>4</v>
      </c>
      <c r="D19" s="27" t="s">
        <v>5</v>
      </c>
      <c r="E19" s="27" t="s">
        <v>6</v>
      </c>
      <c r="F19" s="16"/>
      <c r="G19" s="16"/>
      <c r="H19" s="16"/>
    </row>
    <row r="20" spans="2:8" ht="19.5" customHeight="1" x14ac:dyDescent="0.35">
      <c r="B20" s="17" t="s">
        <v>30</v>
      </c>
      <c r="C20" s="21">
        <v>30</v>
      </c>
      <c r="D20" s="19" t="s">
        <v>31</v>
      </c>
      <c r="E20" s="20" t="s">
        <v>32</v>
      </c>
      <c r="F20" s="16"/>
      <c r="G20" s="16"/>
      <c r="H20" s="16"/>
    </row>
    <row r="21" spans="2:8" ht="19.5" customHeight="1" x14ac:dyDescent="0.35">
      <c r="B21" s="17" t="s">
        <v>33</v>
      </c>
      <c r="C21" s="21">
        <v>2</v>
      </c>
      <c r="D21" s="19" t="s">
        <v>21</v>
      </c>
      <c r="E21" s="20" t="s">
        <v>34</v>
      </c>
      <c r="F21" s="16"/>
      <c r="G21" s="16"/>
      <c r="H21" s="16"/>
    </row>
    <row r="22" spans="2:8" ht="19.5" customHeight="1" x14ac:dyDescent="0.35">
      <c r="B22" s="17" t="s">
        <v>35</v>
      </c>
      <c r="C22" s="21">
        <v>7</v>
      </c>
      <c r="D22" s="19" t="s">
        <v>36</v>
      </c>
      <c r="E22" s="20" t="s">
        <v>37</v>
      </c>
      <c r="F22" s="16"/>
      <c r="G22" s="16"/>
      <c r="H22" s="16"/>
    </row>
    <row r="23" spans="2:8" ht="19.5" customHeight="1" x14ac:dyDescent="0.35">
      <c r="B23" s="17" t="s">
        <v>38</v>
      </c>
      <c r="C23" s="21">
        <v>12</v>
      </c>
      <c r="D23" s="19" t="s">
        <v>39</v>
      </c>
      <c r="E23" s="20" t="s">
        <v>40</v>
      </c>
      <c r="F23" s="16"/>
      <c r="G23" s="16"/>
      <c r="H23" s="16"/>
    </row>
    <row r="24" spans="2:8" ht="19.5" customHeight="1" x14ac:dyDescent="0.35">
      <c r="B24" s="17" t="s">
        <v>41</v>
      </c>
      <c r="C24" s="21">
        <v>15</v>
      </c>
      <c r="D24" s="19" t="s">
        <v>31</v>
      </c>
      <c r="E24" s="20" t="s">
        <v>42</v>
      </c>
      <c r="F24" s="16"/>
      <c r="G24" s="16"/>
      <c r="H24" s="16"/>
    </row>
    <row r="26" spans="2:8" ht="21.75" customHeight="1" x14ac:dyDescent="0.35">
      <c r="B26" s="8" t="s">
        <v>43</v>
      </c>
      <c r="C26" s="8"/>
      <c r="D26" s="8"/>
      <c r="E26" s="8"/>
      <c r="F26" s="8"/>
      <c r="G26" s="8"/>
      <c r="H26" s="8"/>
    </row>
    <row r="27" spans="2:8" ht="15" customHeight="1" x14ac:dyDescent="0.35">
      <c r="B27" s="27" t="s">
        <v>44</v>
      </c>
      <c r="C27" s="27" t="s">
        <v>45</v>
      </c>
      <c r="D27" s="27" t="s">
        <v>46</v>
      </c>
      <c r="E27" s="27" t="s">
        <v>47</v>
      </c>
      <c r="F27" s="16"/>
      <c r="G27" s="16"/>
      <c r="H27" s="16"/>
    </row>
    <row r="28" spans="2:8" ht="19.5" customHeight="1" x14ac:dyDescent="0.35">
      <c r="B28" s="28" t="s">
        <v>48</v>
      </c>
      <c r="C28" s="29" t="s">
        <v>49</v>
      </c>
      <c r="D28" s="30">
        <f>IF(C28="Low",1.1,IF(C28="Medium",1.6,IF(C28="High",2.2,1)))</f>
        <v>1.1000000000000001</v>
      </c>
      <c r="E28" s="20" t="s">
        <v>50</v>
      </c>
      <c r="F28" s="16"/>
      <c r="G28" s="16"/>
      <c r="H28" s="16"/>
    </row>
    <row r="29" spans="2:8" ht="19.5" customHeight="1" x14ac:dyDescent="0.35">
      <c r="B29" s="28" t="s">
        <v>51</v>
      </c>
      <c r="C29" s="29" t="s">
        <v>49</v>
      </c>
      <c r="D29" s="30">
        <f>IF(C29="Low",1,IF(C29="Medium",1.25,IF(C29="High",1.5,1)))</f>
        <v>1</v>
      </c>
      <c r="E29" s="20" t="s">
        <v>52</v>
      </c>
      <c r="F29" s="16"/>
      <c r="G29" s="16"/>
      <c r="H29" s="16"/>
    </row>
    <row r="30" spans="2:8" ht="19.5" customHeight="1" x14ac:dyDescent="0.35">
      <c r="B30" s="28" t="s">
        <v>53</v>
      </c>
      <c r="C30" s="29" t="s">
        <v>54</v>
      </c>
      <c r="D30" s="30">
        <f>IF(C30="Standard",1,IF(C30="Complex",1.3,1))</f>
        <v>1</v>
      </c>
      <c r="E30" s="20" t="s">
        <v>55</v>
      </c>
      <c r="F30" s="16"/>
      <c r="G30" s="16"/>
      <c r="H30" s="16"/>
    </row>
    <row r="31" spans="2:8" ht="19.5" customHeight="1" x14ac:dyDescent="0.35">
      <c r="B31" s="28" t="s">
        <v>56</v>
      </c>
      <c r="C31" s="29" t="s">
        <v>57</v>
      </c>
      <c r="D31" s="30">
        <f>IF(C31="None",1,IF(C31="Moderate",1.2,IF(C31="High",1.4,1)))</f>
        <v>1</v>
      </c>
      <c r="E31" s="20" t="s">
        <v>58</v>
      </c>
      <c r="F31" s="16"/>
      <c r="G31" s="16"/>
      <c r="H31" s="16"/>
    </row>
    <row r="33" spans="2:8" ht="15.75" customHeight="1" x14ac:dyDescent="0.35">
      <c r="B33" s="7" t="s">
        <v>59</v>
      </c>
      <c r="C33" s="7"/>
      <c r="D33" s="7"/>
      <c r="E33" s="7"/>
      <c r="F33" s="7"/>
      <c r="G33" s="7"/>
      <c r="H33" s="7"/>
    </row>
    <row r="34" spans="2:8" ht="21.75" customHeight="1" x14ac:dyDescent="0.35">
      <c r="B34" s="8" t="s">
        <v>60</v>
      </c>
      <c r="C34" s="8"/>
      <c r="D34" s="8"/>
      <c r="E34" s="8"/>
      <c r="F34" s="8"/>
      <c r="G34" s="8"/>
      <c r="H34" s="8"/>
    </row>
    <row r="35" spans="2:8" ht="23.25" customHeight="1" x14ac:dyDescent="0.35">
      <c r="B35" s="27" t="s">
        <v>61</v>
      </c>
      <c r="C35" s="27" t="s">
        <v>62</v>
      </c>
      <c r="D35" s="27" t="s">
        <v>63</v>
      </c>
      <c r="E35" s="27" t="s">
        <v>64</v>
      </c>
      <c r="F35" s="27" t="s">
        <v>65</v>
      </c>
      <c r="G35" s="27" t="s">
        <v>66</v>
      </c>
      <c r="H35" s="16"/>
    </row>
    <row r="36" spans="2:8" ht="36" customHeight="1" x14ac:dyDescent="0.35">
      <c r="B36" s="31" t="s">
        <v>67</v>
      </c>
      <c r="C36" s="32" t="s">
        <v>68</v>
      </c>
      <c r="D36" s="33">
        <v>0.35</v>
      </c>
      <c r="E36" s="34">
        <f>D36*(D28*D29*D30*D31)</f>
        <v>0.38500000000000001</v>
      </c>
      <c r="F36" s="35">
        <f>ROUND((C16*E36)*(1+C24/100)/C22,0)</f>
        <v>95</v>
      </c>
      <c r="G36" s="36">
        <f>F36/F42</f>
        <v>0.11176470588235295</v>
      </c>
      <c r="H36" s="16"/>
    </row>
    <row r="37" spans="2:8" ht="36" customHeight="1" x14ac:dyDescent="0.35">
      <c r="B37" s="31" t="s">
        <v>69</v>
      </c>
      <c r="C37" s="32" t="s">
        <v>70</v>
      </c>
      <c r="D37" s="33">
        <v>0.55000000000000004</v>
      </c>
      <c r="E37" s="34">
        <f>D37*(D28*D29*D30*D31)</f>
        <v>0.60500000000000009</v>
      </c>
      <c r="F37" s="35">
        <f>ROUND((C16*E37)*(1+C24/100)/C22,0)</f>
        <v>149</v>
      </c>
      <c r="G37" s="36">
        <f>F37/F42</f>
        <v>0.17529411764705882</v>
      </c>
      <c r="H37" s="16"/>
    </row>
    <row r="38" spans="2:8" ht="36" customHeight="1" x14ac:dyDescent="0.35">
      <c r="B38" s="31" t="s">
        <v>71</v>
      </c>
      <c r="C38" s="32" t="s">
        <v>72</v>
      </c>
      <c r="D38" s="33">
        <v>0.8</v>
      </c>
      <c r="E38" s="34">
        <f>D38*(D28*D29*D30*D31)</f>
        <v>0.88000000000000012</v>
      </c>
      <c r="F38" s="35">
        <f>ROUND((C16*E38)*(1+C24/100)/C22,0)</f>
        <v>217</v>
      </c>
      <c r="G38" s="36">
        <f>F38/F42</f>
        <v>0.25529411764705884</v>
      </c>
      <c r="H38" s="16"/>
    </row>
    <row r="39" spans="2:8" ht="36" customHeight="1" x14ac:dyDescent="0.35">
      <c r="B39" s="31" t="s">
        <v>73</v>
      </c>
      <c r="C39" s="32" t="s">
        <v>74</v>
      </c>
      <c r="D39" s="33">
        <v>0.55000000000000004</v>
      </c>
      <c r="E39" s="34">
        <f>D39*(D28*D29*D30*D31)</f>
        <v>0.60500000000000009</v>
      </c>
      <c r="F39" s="35">
        <f>ROUND((C16*E39)*(1+C24/100)/C22,0)</f>
        <v>149</v>
      </c>
      <c r="G39" s="36">
        <f>F39/F42</f>
        <v>0.17529411764705882</v>
      </c>
      <c r="H39" s="16"/>
    </row>
    <row r="40" spans="2:8" ht="36" customHeight="1" x14ac:dyDescent="0.35">
      <c r="B40" s="31" t="s">
        <v>75</v>
      </c>
      <c r="C40" s="32" t="s">
        <v>76</v>
      </c>
      <c r="D40" s="33">
        <v>0.45</v>
      </c>
      <c r="E40" s="34">
        <f>D40*(D28*D29*D30*D31)</f>
        <v>0.49500000000000005</v>
      </c>
      <c r="F40" s="35">
        <f>ROUND(((C16*E40)*(1+C24/100)+(C16*(C20/100)*C21*0.5))/C22,0)</f>
        <v>186</v>
      </c>
      <c r="G40" s="36">
        <f>F40/F42</f>
        <v>0.21882352941176469</v>
      </c>
      <c r="H40" s="37" t="s">
        <v>77</v>
      </c>
    </row>
    <row r="41" spans="2:8" ht="36" customHeight="1" x14ac:dyDescent="0.35">
      <c r="B41" s="31" t="s">
        <v>78</v>
      </c>
      <c r="C41" s="32" t="s">
        <v>79</v>
      </c>
      <c r="D41" s="33">
        <v>0.2</v>
      </c>
      <c r="E41" s="34">
        <f>D41*(D28*D29*D30*D31)</f>
        <v>0.22000000000000003</v>
      </c>
      <c r="F41" s="35">
        <f>ROUND((C16*E41)*(1+C24/100)/C22,0)</f>
        <v>54</v>
      </c>
      <c r="G41" s="36">
        <f>F41/F42</f>
        <v>6.3529411764705876E-2</v>
      </c>
      <c r="H41" s="16"/>
    </row>
    <row r="42" spans="2:8" ht="21.75" customHeight="1" x14ac:dyDescent="0.35">
      <c r="B42" s="38" t="s">
        <v>80</v>
      </c>
      <c r="C42" s="39"/>
      <c r="D42" s="39"/>
      <c r="E42" s="39"/>
      <c r="F42" s="40">
        <f>SUM(F36:F41)</f>
        <v>850</v>
      </c>
      <c r="G42" s="39" t="s">
        <v>81</v>
      </c>
      <c r="H42" s="39"/>
    </row>
    <row r="44" spans="2:8" ht="21.75" customHeight="1" x14ac:dyDescent="0.35">
      <c r="B44" s="8" t="s">
        <v>82</v>
      </c>
      <c r="C44" s="8"/>
      <c r="D44" s="8"/>
      <c r="E44" s="8"/>
      <c r="F44" s="8"/>
      <c r="G44" s="8"/>
      <c r="H44" s="8"/>
    </row>
    <row r="45" spans="2:8" ht="15" customHeight="1" x14ac:dyDescent="0.35">
      <c r="B45" s="27" t="s">
        <v>83</v>
      </c>
      <c r="C45" s="27" t="s">
        <v>84</v>
      </c>
      <c r="D45" s="27" t="s">
        <v>85</v>
      </c>
      <c r="E45" s="27" t="s">
        <v>86</v>
      </c>
      <c r="F45" s="16"/>
      <c r="G45" s="16"/>
      <c r="H45" s="16"/>
    </row>
    <row r="46" spans="2:8" ht="19.5" customHeight="1" x14ac:dyDescent="0.35">
      <c r="B46" s="41" t="s">
        <v>87</v>
      </c>
      <c r="C46" s="42">
        <f>C16</f>
        <v>1500</v>
      </c>
      <c r="D46" s="43">
        <f>C16</f>
        <v>1500</v>
      </c>
      <c r="E46" s="44" t="s">
        <v>88</v>
      </c>
      <c r="F46" s="16"/>
      <c r="G46" s="16"/>
      <c r="H46" s="16"/>
    </row>
    <row r="47" spans="2:8" ht="19.5" customHeight="1" x14ac:dyDescent="0.35">
      <c r="B47" s="41" t="s">
        <v>89</v>
      </c>
      <c r="C47" s="42">
        <f>F42</f>
        <v>850</v>
      </c>
      <c r="D47" s="43">
        <f>F42</f>
        <v>850</v>
      </c>
      <c r="E47" s="44" t="s">
        <v>90</v>
      </c>
      <c r="F47" s="16"/>
      <c r="G47" s="16"/>
      <c r="H47" s="16"/>
    </row>
    <row r="48" spans="2:8" ht="19.5" customHeight="1" x14ac:dyDescent="0.35">
      <c r="B48" s="41" t="s">
        <v>91</v>
      </c>
      <c r="C48" s="45">
        <f>ROUND(F42/20,1)</f>
        <v>42.5</v>
      </c>
      <c r="D48" s="46">
        <f>ROUND(F42/20,1)</f>
        <v>42.5</v>
      </c>
      <c r="E48" s="44" t="s">
        <v>92</v>
      </c>
      <c r="F48" s="16"/>
      <c r="G48" s="16"/>
      <c r="H48" s="16"/>
    </row>
    <row r="49" spans="2:8" ht="19.5" customHeight="1" x14ac:dyDescent="0.35">
      <c r="B49" s="41" t="s">
        <v>93</v>
      </c>
      <c r="C49" s="45">
        <f>CEILING(F42/(C23*20),1)</f>
        <v>4</v>
      </c>
      <c r="D49" s="47">
        <f>CEILING(F42/(C23*20),1)</f>
        <v>4</v>
      </c>
      <c r="E49" s="44" t="s">
        <v>94</v>
      </c>
      <c r="F49" s="16"/>
      <c r="G49" s="16"/>
      <c r="H49" s="16"/>
    </row>
    <row r="50" spans="2:8" ht="19.5" customHeight="1" x14ac:dyDescent="0.35">
      <c r="B50" s="41" t="s">
        <v>95</v>
      </c>
      <c r="C50" s="45">
        <f>ROUND((C16*(C20/100)*C21*0.5)/C22,0)</f>
        <v>64</v>
      </c>
      <c r="D50" s="43">
        <f>ROUND((C16*(C20/100)*C21*0.5)/C22,0)</f>
        <v>64</v>
      </c>
      <c r="E50" s="44" t="s">
        <v>96</v>
      </c>
      <c r="F50" s="16"/>
      <c r="G50" s="16"/>
      <c r="H50" s="16"/>
    </row>
    <row r="51" spans="2:8" ht="19.5" customHeight="1" x14ac:dyDescent="0.35">
      <c r="B51" s="41" t="s">
        <v>97</v>
      </c>
      <c r="C51" s="45">
        <f>IF(C16&gt;0,F42/C16,0)</f>
        <v>0.56666666666666665</v>
      </c>
      <c r="D51" s="48">
        <f>IF(C16&gt;0,F42/C16,0)</f>
        <v>0.56666666666666665</v>
      </c>
      <c r="E51" s="44" t="s">
        <v>98</v>
      </c>
      <c r="F51" s="16"/>
      <c r="G51" s="16"/>
      <c r="H51" s="16"/>
    </row>
    <row r="53" spans="2:8" ht="21.75" customHeight="1" x14ac:dyDescent="0.35">
      <c r="B53" s="8" t="s">
        <v>99</v>
      </c>
      <c r="C53" s="8"/>
      <c r="D53" s="8"/>
      <c r="E53" s="8"/>
      <c r="F53" s="8"/>
      <c r="G53" s="8"/>
      <c r="H53" s="8"/>
    </row>
    <row r="54" spans="2:8" ht="15" customHeight="1" x14ac:dyDescent="0.35">
      <c r="B54" s="27" t="s">
        <v>100</v>
      </c>
      <c r="C54" s="27" t="s">
        <v>101</v>
      </c>
      <c r="D54" s="27" t="s">
        <v>102</v>
      </c>
      <c r="E54" s="27" t="s">
        <v>103</v>
      </c>
      <c r="F54" s="27" t="s">
        <v>104</v>
      </c>
      <c r="G54" s="27" t="s">
        <v>105</v>
      </c>
      <c r="H54" s="16"/>
    </row>
    <row r="55" spans="2:8" ht="21.75" customHeight="1" x14ac:dyDescent="0.35">
      <c r="B55" s="49" t="s">
        <v>106</v>
      </c>
      <c r="C55" s="50" t="s">
        <v>107</v>
      </c>
      <c r="D55" s="51">
        <f>ROUND(C16*0.7,0)</f>
        <v>1050</v>
      </c>
      <c r="E55" s="51">
        <f>ROUND(C16*0.7*3.5*(1.1)/C22,0)</f>
        <v>578</v>
      </c>
      <c r="F55" s="52">
        <f>CEILING(E55/(C23*20),1)</f>
        <v>3</v>
      </c>
      <c r="G55" s="53" t="str">
        <f>ROUND(E55/20,0)&amp;" months"</f>
        <v>29 months</v>
      </c>
      <c r="H55" s="16"/>
    </row>
    <row r="56" spans="2:8" ht="21.75" customHeight="1" x14ac:dyDescent="0.35">
      <c r="B56" s="54" t="s">
        <v>108</v>
      </c>
      <c r="C56" s="55" t="s">
        <v>109</v>
      </c>
      <c r="D56" s="56">
        <f>C16</f>
        <v>1500</v>
      </c>
      <c r="E56" s="56">
        <f>F42</f>
        <v>850</v>
      </c>
      <c r="F56" s="57">
        <f>CEILING(E56/(C23*20),1)</f>
        <v>4</v>
      </c>
      <c r="G56" s="58" t="str">
        <f>ROUND(E56/20,0)&amp;" months"</f>
        <v>43 months</v>
      </c>
      <c r="H56" s="16"/>
    </row>
    <row r="57" spans="2:8" ht="21.75" customHeight="1" x14ac:dyDescent="0.35">
      <c r="B57" s="59" t="s">
        <v>110</v>
      </c>
      <c r="C57" s="60" t="s">
        <v>111</v>
      </c>
      <c r="D57" s="61">
        <f>ROUND(C16*1.7,0)</f>
        <v>2550</v>
      </c>
      <c r="E57" s="61">
        <f>ROUND(C16*1.7*5.5*(1.2)/C22,0)</f>
        <v>2404</v>
      </c>
      <c r="F57" s="62">
        <f>CEILING(E57/(C23*20),1)</f>
        <v>11</v>
      </c>
      <c r="G57" s="63" t="str">
        <f>ROUND(E57/20,0)&amp;" months"</f>
        <v>120 months</v>
      </c>
      <c r="H57" s="16"/>
    </row>
    <row r="60" spans="2:8" ht="15.75" customHeight="1" x14ac:dyDescent="0.35">
      <c r="B60" s="6" t="s">
        <v>112</v>
      </c>
      <c r="C60" s="6"/>
      <c r="D60" s="6"/>
      <c r="E60" s="6"/>
      <c r="F60" s="6"/>
      <c r="G60" s="6"/>
      <c r="H60" s="6"/>
    </row>
  </sheetData>
  <mergeCells count="13">
    <mergeCell ref="B44:H44"/>
    <mergeCell ref="B53:H53"/>
    <mergeCell ref="B60:H60"/>
    <mergeCell ref="B14:H14"/>
    <mergeCell ref="B18:H18"/>
    <mergeCell ref="B26:H26"/>
    <mergeCell ref="B33:H33"/>
    <mergeCell ref="B34:H34"/>
    <mergeCell ref="A1:I2"/>
    <mergeCell ref="A3:I3"/>
    <mergeCell ref="B5:H5"/>
    <mergeCell ref="B8:H8"/>
    <mergeCell ref="B11:H11"/>
  </mergeCells>
  <dataValidations count="4">
    <dataValidation type="list" sqref="C7" xr:uid="{00000000-0002-0000-0000-000000000000}">
      <formula1>"By Programs,By LOC,Direct TC Count"</formula1>
      <formula2>0</formula2>
    </dataValidation>
    <dataValidation type="list" sqref="C28:C29" xr:uid="{00000000-0002-0000-0000-000001000000}">
      <formula1>"Low,Medium,High"</formula1>
      <formula2>0</formula2>
    </dataValidation>
    <dataValidation type="list" sqref="C30" xr:uid="{00000000-0002-0000-0000-000003000000}">
      <formula1>"Standard,Complex"</formula1>
      <formula2>0</formula2>
    </dataValidation>
    <dataValidation type="list" sqref="C31" xr:uid="{00000000-0002-0000-0000-000004000000}">
      <formula1>"None,Moderate,High"</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6B75"/>
  </sheetPr>
  <dimension ref="A1:Z58"/>
  <sheetViews>
    <sheetView showGridLines="0" zoomScale="85" zoomScaleNormal="85" workbookViewId="0">
      <pane xSplit="2" ySplit="7" topLeftCell="J8" activePane="bottomRight" state="frozen"/>
      <selection pane="topRight" activeCell="C1" sqref="C1"/>
      <selection pane="bottomLeft" activeCell="A8" sqref="A8"/>
      <selection pane="bottomRight" activeCell="V8" sqref="V8"/>
    </sheetView>
  </sheetViews>
  <sheetFormatPr defaultColWidth="8.6328125" defaultRowHeight="14.5" x14ac:dyDescent="0.35"/>
  <cols>
    <col min="1" max="1" width="2" customWidth="1"/>
    <col min="2" max="2" width="5" customWidth="1"/>
    <col min="3" max="3" width="22" customWidth="1"/>
    <col min="4" max="4" width="14" customWidth="1"/>
    <col min="5" max="5" width="13" customWidth="1"/>
    <col min="6" max="6" width="18.90625" customWidth="1"/>
    <col min="7" max="7" width="10" customWidth="1"/>
    <col min="8" max="9" width="12" customWidth="1"/>
    <col min="10" max="12" width="10" customWidth="1"/>
    <col min="13" max="15" width="13" customWidth="1"/>
    <col min="16" max="16" width="14" customWidth="1"/>
    <col min="17" max="18" width="12" customWidth="1"/>
    <col min="19" max="19" width="10" customWidth="1"/>
    <col min="20" max="22" width="12" customWidth="1"/>
    <col min="23" max="23" width="11" customWidth="1"/>
    <col min="24" max="24" width="14" customWidth="1"/>
    <col min="25" max="25" width="22" customWidth="1"/>
    <col min="26" max="26" width="2" customWidth="1"/>
  </cols>
  <sheetData>
    <row r="1" spans="1:26" ht="36" customHeight="1" x14ac:dyDescent="0.35">
      <c r="A1" s="5" t="s">
        <v>113</v>
      </c>
      <c r="B1" s="5"/>
      <c r="C1" s="5"/>
      <c r="D1" s="5"/>
      <c r="E1" s="5"/>
      <c r="F1" s="5"/>
      <c r="G1" s="5"/>
      <c r="H1" s="5"/>
      <c r="I1" s="5"/>
      <c r="J1" s="5"/>
      <c r="K1" s="5"/>
      <c r="L1" s="5"/>
      <c r="M1" s="5"/>
      <c r="N1" s="5"/>
      <c r="O1" s="5"/>
      <c r="P1" s="5"/>
      <c r="Q1" s="5"/>
      <c r="R1" s="5"/>
      <c r="S1" s="5"/>
      <c r="T1" s="5"/>
      <c r="U1" s="5"/>
      <c r="V1" s="5"/>
      <c r="W1" s="5"/>
      <c r="X1" s="5"/>
      <c r="Y1" s="5"/>
      <c r="Z1" s="5"/>
    </row>
    <row r="2" spans="1:26" ht="3.75" customHeight="1" x14ac:dyDescent="0.35">
      <c r="A2" s="5"/>
      <c r="B2" s="5"/>
      <c r="C2" s="5"/>
      <c r="D2" s="5"/>
      <c r="E2" s="5"/>
      <c r="F2" s="5"/>
      <c r="G2" s="5"/>
      <c r="H2" s="5"/>
      <c r="I2" s="5"/>
      <c r="J2" s="5"/>
      <c r="K2" s="5"/>
      <c r="L2" s="5"/>
      <c r="M2" s="5"/>
      <c r="N2" s="5"/>
      <c r="O2" s="5"/>
      <c r="P2" s="5"/>
      <c r="Q2" s="5"/>
      <c r="R2" s="5"/>
      <c r="S2" s="5"/>
      <c r="T2" s="5"/>
      <c r="U2" s="5"/>
      <c r="V2" s="5"/>
      <c r="W2" s="5"/>
      <c r="X2" s="5"/>
      <c r="Y2" s="5"/>
      <c r="Z2" s="5"/>
    </row>
    <row r="3" spans="1:26" ht="18" customHeight="1" x14ac:dyDescent="0.35">
      <c r="A3" s="13" t="s">
        <v>114</v>
      </c>
      <c r="B3" s="13"/>
      <c r="C3" s="13"/>
      <c r="D3" s="13"/>
      <c r="E3" s="13"/>
      <c r="F3" s="13"/>
      <c r="G3" s="13"/>
      <c r="H3" s="13"/>
      <c r="I3" s="13"/>
      <c r="J3" s="13"/>
      <c r="K3" s="13"/>
      <c r="L3" s="13"/>
      <c r="M3" s="13"/>
      <c r="N3" s="13"/>
      <c r="O3" s="13"/>
      <c r="P3" s="13"/>
      <c r="Q3" s="13"/>
      <c r="R3" s="13"/>
      <c r="S3" s="13"/>
      <c r="T3" s="13"/>
      <c r="U3" s="13"/>
      <c r="V3" s="13"/>
      <c r="W3" s="13"/>
      <c r="X3" s="13"/>
      <c r="Y3" s="13"/>
      <c r="Z3" s="13"/>
    </row>
    <row r="5" spans="1:26" ht="19.5" customHeight="1" x14ac:dyDescent="0.35">
      <c r="B5" s="4" t="s">
        <v>115</v>
      </c>
      <c r="C5" s="4"/>
      <c r="D5" s="4"/>
      <c r="E5" s="4"/>
      <c r="F5" s="4"/>
      <c r="G5" s="4"/>
      <c r="H5" s="4"/>
      <c r="I5" s="4"/>
      <c r="J5" s="4"/>
      <c r="K5" s="4"/>
      <c r="L5" s="4"/>
      <c r="M5" s="4"/>
      <c r="N5" s="4"/>
      <c r="O5" s="4"/>
      <c r="P5" s="4"/>
      <c r="Q5" s="4"/>
      <c r="R5" s="4"/>
      <c r="S5" s="4"/>
      <c r="T5" s="4"/>
      <c r="U5" s="4"/>
      <c r="V5" s="4"/>
      <c r="W5" s="4"/>
      <c r="X5" s="4"/>
      <c r="Y5" s="4"/>
    </row>
    <row r="6" spans="1:26" ht="24" customHeight="1" x14ac:dyDescent="0.35">
      <c r="B6" s="64"/>
      <c r="C6" s="3" t="s">
        <v>116</v>
      </c>
      <c r="D6" s="3"/>
      <c r="E6" s="3"/>
      <c r="F6" s="2" t="s">
        <v>117</v>
      </c>
      <c r="G6" s="2"/>
      <c r="H6" s="1" t="s">
        <v>118</v>
      </c>
      <c r="I6" s="1"/>
      <c r="J6" s="169" t="s">
        <v>119</v>
      </c>
      <c r="K6" s="169"/>
      <c r="L6" s="169"/>
      <c r="M6" s="170" t="s">
        <v>120</v>
      </c>
      <c r="N6" s="170"/>
      <c r="O6" s="170"/>
      <c r="P6" s="170"/>
      <c r="Q6" s="171" t="s">
        <v>121</v>
      </c>
      <c r="R6" s="171"/>
      <c r="S6" s="171"/>
      <c r="T6" s="172" t="s">
        <v>122</v>
      </c>
      <c r="U6" s="172"/>
      <c r="V6" s="172"/>
      <c r="W6" s="172"/>
      <c r="X6" s="72" t="s">
        <v>123</v>
      </c>
      <c r="Y6" s="72" t="s">
        <v>124</v>
      </c>
    </row>
    <row r="7" spans="1:26" ht="48" customHeight="1" x14ac:dyDescent="0.35">
      <c r="B7" s="65" t="s">
        <v>125</v>
      </c>
      <c r="C7" s="65" t="s">
        <v>126</v>
      </c>
      <c r="D7" s="66" t="s">
        <v>127</v>
      </c>
      <c r="E7" s="66" t="s">
        <v>128</v>
      </c>
      <c r="F7" s="66" t="s">
        <v>129</v>
      </c>
      <c r="G7" s="66" t="s">
        <v>130</v>
      </c>
      <c r="H7" s="67" t="s">
        <v>131</v>
      </c>
      <c r="I7" s="67" t="s">
        <v>132</v>
      </c>
      <c r="J7" s="68" t="s">
        <v>133</v>
      </c>
      <c r="K7" s="68" t="s">
        <v>134</v>
      </c>
      <c r="L7" s="68" t="s">
        <v>135</v>
      </c>
      <c r="M7" s="69" t="s">
        <v>136</v>
      </c>
      <c r="N7" s="69" t="s">
        <v>137</v>
      </c>
      <c r="O7" s="69" t="s">
        <v>138</v>
      </c>
      <c r="P7" s="69" t="s">
        <v>139</v>
      </c>
      <c r="Q7" s="70" t="s">
        <v>140</v>
      </c>
      <c r="R7" s="70" t="s">
        <v>141</v>
      </c>
      <c r="S7" s="70" t="s">
        <v>142</v>
      </c>
      <c r="T7" s="71" t="s">
        <v>143</v>
      </c>
      <c r="U7" s="71" t="s">
        <v>144</v>
      </c>
      <c r="V7" s="71" t="s">
        <v>145</v>
      </c>
      <c r="W7" s="71" t="s">
        <v>146</v>
      </c>
      <c r="X7" s="72" t="s">
        <v>147</v>
      </c>
      <c r="Y7" s="72" t="s">
        <v>148</v>
      </c>
    </row>
    <row r="8" spans="1:26" ht="36" customHeight="1" x14ac:dyDescent="0.35">
      <c r="B8" s="73">
        <v>1</v>
      </c>
      <c r="C8" s="74" t="s">
        <v>149</v>
      </c>
      <c r="D8" s="29" t="s">
        <v>150</v>
      </c>
      <c r="E8" s="29" t="s">
        <v>151</v>
      </c>
      <c r="F8" s="29" t="s">
        <v>152</v>
      </c>
      <c r="G8" s="75">
        <v>2024</v>
      </c>
      <c r="H8" s="76">
        <v>180</v>
      </c>
      <c r="I8" s="76">
        <v>2400</v>
      </c>
      <c r="J8" s="76">
        <v>2340</v>
      </c>
      <c r="K8" s="77">
        <f t="shared" ref="K8:K22" si="0">IF(AND(H8&gt;0,J8&gt;0),ROUND(J8/H8,1),"")</f>
        <v>13</v>
      </c>
      <c r="L8" s="78">
        <f t="shared" ref="L8:L22" si="1">IF(AND(I8&gt;0,J8&gt;0),ROUND(J8/I8*1,2),"")</f>
        <v>0.98</v>
      </c>
      <c r="M8" s="29" t="s">
        <v>153</v>
      </c>
      <c r="N8" s="29" t="s">
        <v>153</v>
      </c>
      <c r="O8" s="29" t="s">
        <v>154</v>
      </c>
      <c r="P8" s="29" t="s">
        <v>155</v>
      </c>
      <c r="Q8" s="79">
        <v>0.75</v>
      </c>
      <c r="R8" s="79">
        <v>0.32</v>
      </c>
      <c r="S8" s="80">
        <v>2</v>
      </c>
      <c r="T8" s="76">
        <v>820</v>
      </c>
      <c r="U8" s="78">
        <f t="shared" ref="U8:U22" si="2">IF(AND(T8&gt;0,J8&gt;0),ROUND(T8*7/J8,2),"")</f>
        <v>2.4500000000000002</v>
      </c>
      <c r="V8" s="81">
        <f t="shared" ref="V8:V22" si="3">IFERROR(4.25*IF(M8="Low",1.1,IF(M8="High",2.2,1.6))*IF(N8="Low",1,IF(N8="High",1.5,1.25))*IF(O8="Complex",1.3,1)*IF(P8="High",1.4,IF(P8="Moderate",1.2,1)),"")</f>
        <v>15.47</v>
      </c>
      <c r="W8" s="82">
        <f t="shared" ref="W8:W22" si="4">IF(AND(U8&lt;&gt;"",V8&lt;&gt;"",V8&gt;0),(U8-V8)/V8,"")</f>
        <v>-0.841628959276018</v>
      </c>
      <c r="X8" s="29" t="s">
        <v>156</v>
      </c>
      <c r="Y8" s="83" t="s">
        <v>157</v>
      </c>
    </row>
    <row r="9" spans="1:26" ht="36" customHeight="1" x14ac:dyDescent="0.35">
      <c r="B9" s="84">
        <v>2</v>
      </c>
      <c r="C9" s="74" t="s">
        <v>158</v>
      </c>
      <c r="D9" s="29" t="s">
        <v>159</v>
      </c>
      <c r="E9" s="29" t="s">
        <v>151</v>
      </c>
      <c r="F9" s="29" t="s">
        <v>160</v>
      </c>
      <c r="G9" s="75">
        <v>2023</v>
      </c>
      <c r="H9" s="76">
        <v>95</v>
      </c>
      <c r="I9" s="76">
        <v>800</v>
      </c>
      <c r="J9" s="76">
        <v>950</v>
      </c>
      <c r="K9" s="77">
        <f t="shared" si="0"/>
        <v>10</v>
      </c>
      <c r="L9" s="78">
        <f t="shared" si="1"/>
        <v>1.19</v>
      </c>
      <c r="M9" s="29" t="s">
        <v>49</v>
      </c>
      <c r="N9" s="29" t="s">
        <v>49</v>
      </c>
      <c r="O9" s="29" t="s">
        <v>54</v>
      </c>
      <c r="P9" s="29" t="s">
        <v>57</v>
      </c>
      <c r="Q9" s="79">
        <v>0.65</v>
      </c>
      <c r="R9" s="79">
        <v>0.22</v>
      </c>
      <c r="S9" s="80">
        <v>1.5</v>
      </c>
      <c r="T9" s="76">
        <v>290</v>
      </c>
      <c r="U9" s="78">
        <f t="shared" si="2"/>
        <v>2.14</v>
      </c>
      <c r="V9" s="81">
        <f t="shared" si="3"/>
        <v>4.6750000000000007</v>
      </c>
      <c r="W9" s="82">
        <f t="shared" si="4"/>
        <v>-0.54224598930481283</v>
      </c>
      <c r="X9" s="29" t="s">
        <v>156</v>
      </c>
      <c r="Y9" s="85" t="s">
        <v>161</v>
      </c>
    </row>
    <row r="10" spans="1:26" ht="36" customHeight="1" x14ac:dyDescent="0.35">
      <c r="B10" s="73">
        <v>3</v>
      </c>
      <c r="C10" s="74" t="s">
        <v>162</v>
      </c>
      <c r="D10" s="29" t="s">
        <v>150</v>
      </c>
      <c r="E10" s="29" t="s">
        <v>151</v>
      </c>
      <c r="F10" s="29" t="s">
        <v>163</v>
      </c>
      <c r="G10" s="75">
        <v>2024</v>
      </c>
      <c r="H10" s="76">
        <v>220</v>
      </c>
      <c r="I10" s="76">
        <v>3100</v>
      </c>
      <c r="J10" s="76">
        <v>2640</v>
      </c>
      <c r="K10" s="77">
        <f t="shared" si="0"/>
        <v>12</v>
      </c>
      <c r="L10" s="78">
        <f t="shared" si="1"/>
        <v>0.85</v>
      </c>
      <c r="M10" s="29" t="s">
        <v>155</v>
      </c>
      <c r="N10" s="29" t="s">
        <v>155</v>
      </c>
      <c r="O10" s="29" t="s">
        <v>154</v>
      </c>
      <c r="P10" s="29" t="s">
        <v>155</v>
      </c>
      <c r="Q10" s="79">
        <v>0.8</v>
      </c>
      <c r="R10" s="79">
        <v>0.38</v>
      </c>
      <c r="S10" s="80">
        <v>2.5</v>
      </c>
      <c r="T10" s="76">
        <v>1050</v>
      </c>
      <c r="U10" s="78">
        <f t="shared" si="2"/>
        <v>2.78</v>
      </c>
      <c r="V10" s="81">
        <f t="shared" si="3"/>
        <v>25.525500000000001</v>
      </c>
      <c r="W10" s="82">
        <f t="shared" si="4"/>
        <v>-0.89108930285400867</v>
      </c>
      <c r="X10" s="29" t="s">
        <v>156</v>
      </c>
      <c r="Y10" s="83" t="s">
        <v>164</v>
      </c>
    </row>
    <row r="11" spans="1:26" ht="36" customHeight="1" x14ac:dyDescent="0.35">
      <c r="B11" s="84">
        <v>4</v>
      </c>
      <c r="C11" s="74" t="s">
        <v>165</v>
      </c>
      <c r="D11" s="29" t="s">
        <v>166</v>
      </c>
      <c r="E11" s="29" t="s">
        <v>151</v>
      </c>
      <c r="F11" s="29" t="s">
        <v>152</v>
      </c>
      <c r="G11" s="75">
        <v>2025</v>
      </c>
      <c r="H11" s="76">
        <v>60</v>
      </c>
      <c r="I11" s="76">
        <v>550</v>
      </c>
      <c r="J11" s="76">
        <v>720</v>
      </c>
      <c r="K11" s="77">
        <f t="shared" si="0"/>
        <v>12</v>
      </c>
      <c r="L11" s="78">
        <f t="shared" si="1"/>
        <v>1.31</v>
      </c>
      <c r="M11" s="29" t="s">
        <v>153</v>
      </c>
      <c r="N11" s="29" t="s">
        <v>153</v>
      </c>
      <c r="O11" s="29" t="s">
        <v>54</v>
      </c>
      <c r="P11" s="29" t="s">
        <v>155</v>
      </c>
      <c r="Q11" s="79">
        <v>0.85</v>
      </c>
      <c r="R11" s="79">
        <v>0.28000000000000003</v>
      </c>
      <c r="S11" s="80">
        <v>1.5</v>
      </c>
      <c r="T11" s="76">
        <v>210</v>
      </c>
      <c r="U11" s="78">
        <f t="shared" si="2"/>
        <v>2.04</v>
      </c>
      <c r="V11" s="81">
        <f t="shared" si="3"/>
        <v>11.899999999999999</v>
      </c>
      <c r="W11" s="82">
        <f t="shared" si="4"/>
        <v>-0.82857142857142863</v>
      </c>
      <c r="X11" s="29" t="s">
        <v>156</v>
      </c>
      <c r="Y11" s="85" t="s">
        <v>167</v>
      </c>
    </row>
    <row r="12" spans="1:26" ht="36" customHeight="1" x14ac:dyDescent="0.35">
      <c r="B12" s="73">
        <v>5</v>
      </c>
      <c r="C12" s="74" t="s">
        <v>168</v>
      </c>
      <c r="D12" s="29" t="s">
        <v>150</v>
      </c>
      <c r="E12" s="29" t="s">
        <v>169</v>
      </c>
      <c r="F12" s="29" t="s">
        <v>152</v>
      </c>
      <c r="G12" s="75">
        <v>2024</v>
      </c>
      <c r="H12" s="76">
        <v>140</v>
      </c>
      <c r="I12" s="76">
        <v>1800</v>
      </c>
      <c r="J12" s="76">
        <v>1820</v>
      </c>
      <c r="K12" s="77">
        <f t="shared" si="0"/>
        <v>13</v>
      </c>
      <c r="L12" s="78">
        <f t="shared" si="1"/>
        <v>1.01</v>
      </c>
      <c r="M12" s="29" t="s">
        <v>155</v>
      </c>
      <c r="N12" s="29" t="s">
        <v>153</v>
      </c>
      <c r="O12" s="29" t="s">
        <v>154</v>
      </c>
      <c r="P12" s="29" t="s">
        <v>170</v>
      </c>
      <c r="Q12" s="79">
        <v>0.72</v>
      </c>
      <c r="R12" s="79">
        <v>0.35</v>
      </c>
      <c r="S12" s="80">
        <v>2</v>
      </c>
      <c r="T12" s="76">
        <v>720</v>
      </c>
      <c r="U12" s="78">
        <f t="shared" si="2"/>
        <v>2.77</v>
      </c>
      <c r="V12" s="81">
        <f t="shared" si="3"/>
        <v>18.232500000000002</v>
      </c>
      <c r="W12" s="82">
        <f t="shared" si="4"/>
        <v>-0.84807349513231867</v>
      </c>
      <c r="X12" s="29" t="s">
        <v>156</v>
      </c>
      <c r="Y12" s="83" t="s">
        <v>171</v>
      </c>
    </row>
    <row r="13" spans="1:26" ht="36" customHeight="1" x14ac:dyDescent="0.35">
      <c r="B13" s="84">
        <v>6</v>
      </c>
      <c r="C13" s="74" t="s">
        <v>172</v>
      </c>
      <c r="D13" s="29" t="s">
        <v>173</v>
      </c>
      <c r="E13" s="29" t="s">
        <v>151</v>
      </c>
      <c r="F13" s="29" t="s">
        <v>174</v>
      </c>
      <c r="G13" s="75">
        <v>2023</v>
      </c>
      <c r="H13" s="76">
        <v>75</v>
      </c>
      <c r="I13" s="76">
        <v>920</v>
      </c>
      <c r="J13" s="76">
        <v>900</v>
      </c>
      <c r="K13" s="77">
        <f t="shared" si="0"/>
        <v>12</v>
      </c>
      <c r="L13" s="78">
        <f t="shared" si="1"/>
        <v>0.98</v>
      </c>
      <c r="M13" s="29" t="s">
        <v>153</v>
      </c>
      <c r="N13" s="29" t="s">
        <v>49</v>
      </c>
      <c r="O13" s="29" t="s">
        <v>54</v>
      </c>
      <c r="P13" s="29" t="s">
        <v>170</v>
      </c>
      <c r="Q13" s="79">
        <v>0.6</v>
      </c>
      <c r="R13" s="79">
        <v>0.25</v>
      </c>
      <c r="S13" s="80">
        <v>1.5</v>
      </c>
      <c r="T13" s="76">
        <v>315</v>
      </c>
      <c r="U13" s="78">
        <f t="shared" si="2"/>
        <v>2.4500000000000002</v>
      </c>
      <c r="V13" s="81">
        <f t="shared" si="3"/>
        <v>8.16</v>
      </c>
      <c r="W13" s="82">
        <f t="shared" si="4"/>
        <v>-0.69975490196078427</v>
      </c>
      <c r="X13" s="29" t="s">
        <v>156</v>
      </c>
      <c r="Y13" s="85" t="s">
        <v>175</v>
      </c>
    </row>
    <row r="14" spans="1:26" ht="36" customHeight="1" x14ac:dyDescent="0.35">
      <c r="B14" s="73">
        <v>7</v>
      </c>
      <c r="C14" s="74" t="s">
        <v>176</v>
      </c>
      <c r="D14" s="29" t="s">
        <v>177</v>
      </c>
      <c r="E14" s="29" t="s">
        <v>151</v>
      </c>
      <c r="F14" s="29" t="s">
        <v>163</v>
      </c>
      <c r="G14" s="75">
        <v>2024</v>
      </c>
      <c r="H14" s="76">
        <v>310</v>
      </c>
      <c r="I14" s="76">
        <v>4200</v>
      </c>
      <c r="J14" s="76">
        <v>3100</v>
      </c>
      <c r="K14" s="77">
        <f t="shared" si="0"/>
        <v>10</v>
      </c>
      <c r="L14" s="78">
        <f t="shared" si="1"/>
        <v>0.74</v>
      </c>
      <c r="M14" s="29" t="s">
        <v>155</v>
      </c>
      <c r="N14" s="29" t="s">
        <v>155</v>
      </c>
      <c r="O14" s="29" t="s">
        <v>154</v>
      </c>
      <c r="P14" s="29" t="s">
        <v>155</v>
      </c>
      <c r="Q14" s="79">
        <v>0.55000000000000004</v>
      </c>
      <c r="R14" s="79">
        <v>0.4</v>
      </c>
      <c r="S14" s="80">
        <v>3</v>
      </c>
      <c r="T14" s="76">
        <v>1450</v>
      </c>
      <c r="U14" s="78">
        <f t="shared" si="2"/>
        <v>3.27</v>
      </c>
      <c r="V14" s="81">
        <f t="shared" si="3"/>
        <v>25.525500000000001</v>
      </c>
      <c r="W14" s="82">
        <f t="shared" si="4"/>
        <v>-0.87189281306928368</v>
      </c>
      <c r="X14" s="29" t="s">
        <v>156</v>
      </c>
      <c r="Y14" s="83" t="s">
        <v>178</v>
      </c>
    </row>
    <row r="15" spans="1:26" ht="36" customHeight="1" x14ac:dyDescent="0.35">
      <c r="B15" s="84">
        <v>8</v>
      </c>
      <c r="C15" s="74" t="s">
        <v>179</v>
      </c>
      <c r="D15" s="29" t="s">
        <v>180</v>
      </c>
      <c r="E15" s="29" t="s">
        <v>151</v>
      </c>
      <c r="F15" s="29" t="s">
        <v>152</v>
      </c>
      <c r="G15" s="75">
        <v>2025</v>
      </c>
      <c r="H15" s="76">
        <v>45</v>
      </c>
      <c r="I15" s="76">
        <v>420</v>
      </c>
      <c r="J15" s="76">
        <v>540</v>
      </c>
      <c r="K15" s="77">
        <f t="shared" si="0"/>
        <v>12</v>
      </c>
      <c r="L15" s="78">
        <f t="shared" si="1"/>
        <v>1.29</v>
      </c>
      <c r="M15" s="29" t="s">
        <v>49</v>
      </c>
      <c r="N15" s="29" t="s">
        <v>153</v>
      </c>
      <c r="O15" s="29" t="s">
        <v>54</v>
      </c>
      <c r="P15" s="29" t="s">
        <v>155</v>
      </c>
      <c r="Q15" s="79">
        <v>0.9</v>
      </c>
      <c r="R15" s="79">
        <v>0.26</v>
      </c>
      <c r="S15" s="80">
        <v>1.5</v>
      </c>
      <c r="T15" s="76">
        <v>145</v>
      </c>
      <c r="U15" s="78">
        <f t="shared" si="2"/>
        <v>1.88</v>
      </c>
      <c r="V15" s="81">
        <f t="shared" si="3"/>
        <v>8.1812500000000004</v>
      </c>
      <c r="W15" s="82">
        <f t="shared" si="4"/>
        <v>-0.77020626432391137</v>
      </c>
      <c r="X15" s="29" t="s">
        <v>156</v>
      </c>
      <c r="Y15" s="85" t="s">
        <v>181</v>
      </c>
    </row>
    <row r="16" spans="1:26" ht="36" customHeight="1" x14ac:dyDescent="0.35">
      <c r="B16" s="73">
        <v>9</v>
      </c>
      <c r="C16" s="74" t="s">
        <v>182</v>
      </c>
      <c r="D16" s="29" t="s">
        <v>183</v>
      </c>
      <c r="E16" s="29" t="s">
        <v>151</v>
      </c>
      <c r="F16" s="29" t="s">
        <v>174</v>
      </c>
      <c r="G16" s="75">
        <v>2024</v>
      </c>
      <c r="H16" s="76">
        <v>190</v>
      </c>
      <c r="I16" s="76">
        <v>2600</v>
      </c>
      <c r="J16" s="76">
        <v>2280</v>
      </c>
      <c r="K16" s="77">
        <f t="shared" si="0"/>
        <v>12</v>
      </c>
      <c r="L16" s="78">
        <f t="shared" si="1"/>
        <v>0.88</v>
      </c>
      <c r="M16" s="29" t="s">
        <v>155</v>
      </c>
      <c r="N16" s="29" t="s">
        <v>155</v>
      </c>
      <c r="O16" s="29" t="s">
        <v>154</v>
      </c>
      <c r="P16" s="29" t="s">
        <v>155</v>
      </c>
      <c r="Q16" s="79">
        <v>0.7</v>
      </c>
      <c r="R16" s="79">
        <v>0.42</v>
      </c>
      <c r="S16" s="80">
        <v>3</v>
      </c>
      <c r="T16" s="76">
        <v>980</v>
      </c>
      <c r="U16" s="78">
        <f t="shared" si="2"/>
        <v>3.01</v>
      </c>
      <c r="V16" s="81">
        <f t="shared" si="3"/>
        <v>25.525500000000001</v>
      </c>
      <c r="W16" s="82">
        <f t="shared" si="4"/>
        <v>-0.88207870560811741</v>
      </c>
      <c r="X16" s="29" t="s">
        <v>156</v>
      </c>
      <c r="Y16" s="83" t="s">
        <v>184</v>
      </c>
    </row>
    <row r="17" spans="2:25" ht="36" customHeight="1" x14ac:dyDescent="0.35">
      <c r="B17" s="84">
        <v>10</v>
      </c>
      <c r="C17" s="74" t="s">
        <v>185</v>
      </c>
      <c r="D17" s="29" t="s">
        <v>150</v>
      </c>
      <c r="E17" s="29" t="s">
        <v>151</v>
      </c>
      <c r="F17" s="29" t="s">
        <v>152</v>
      </c>
      <c r="G17" s="75">
        <v>2025</v>
      </c>
      <c r="H17" s="76">
        <v>130</v>
      </c>
      <c r="I17" s="76">
        <v>1700</v>
      </c>
      <c r="J17" s="76">
        <v>1690</v>
      </c>
      <c r="K17" s="77">
        <f t="shared" si="0"/>
        <v>13</v>
      </c>
      <c r="L17" s="78">
        <f t="shared" si="1"/>
        <v>0.99</v>
      </c>
      <c r="M17" s="29" t="s">
        <v>153</v>
      </c>
      <c r="N17" s="29" t="s">
        <v>153</v>
      </c>
      <c r="O17" s="29" t="s">
        <v>154</v>
      </c>
      <c r="P17" s="29" t="s">
        <v>170</v>
      </c>
      <c r="Q17" s="79">
        <v>0.8</v>
      </c>
      <c r="R17" s="79">
        <v>0.31</v>
      </c>
      <c r="S17" s="80">
        <v>2</v>
      </c>
      <c r="T17" s="76">
        <v>620</v>
      </c>
      <c r="U17" s="78">
        <f t="shared" si="2"/>
        <v>2.57</v>
      </c>
      <c r="V17" s="81">
        <f t="shared" si="3"/>
        <v>13.26</v>
      </c>
      <c r="W17" s="82">
        <f t="shared" si="4"/>
        <v>-0.80618401206636503</v>
      </c>
      <c r="X17" s="29" t="s">
        <v>156</v>
      </c>
      <c r="Y17" s="85" t="s">
        <v>186</v>
      </c>
    </row>
    <row r="18" spans="2:25" ht="36" customHeight="1" x14ac:dyDescent="0.35">
      <c r="B18" s="73">
        <v>11</v>
      </c>
      <c r="C18" s="86"/>
      <c r="D18" s="86"/>
      <c r="E18" s="86"/>
      <c r="F18" s="86"/>
      <c r="G18" s="86"/>
      <c r="H18" s="86"/>
      <c r="I18" s="86"/>
      <c r="J18" s="86"/>
      <c r="K18" s="77" t="str">
        <f t="shared" si="0"/>
        <v/>
      </c>
      <c r="L18" s="78" t="str">
        <f t="shared" si="1"/>
        <v/>
      </c>
      <c r="M18" s="86"/>
      <c r="N18" s="86"/>
      <c r="O18" s="86"/>
      <c r="P18" s="86"/>
      <c r="Q18" s="86"/>
      <c r="R18" s="86"/>
      <c r="S18" s="86"/>
      <c r="T18" s="86"/>
      <c r="U18" s="78" t="str">
        <f t="shared" si="2"/>
        <v/>
      </c>
      <c r="V18" s="81">
        <f t="shared" si="3"/>
        <v>8.5</v>
      </c>
      <c r="W18" s="82" t="str">
        <f t="shared" si="4"/>
        <v/>
      </c>
      <c r="X18" s="86"/>
      <c r="Y18" s="86"/>
    </row>
    <row r="19" spans="2:25" ht="36" customHeight="1" x14ac:dyDescent="0.35">
      <c r="B19" s="84">
        <v>12</v>
      </c>
      <c r="C19" s="86"/>
      <c r="D19" s="86"/>
      <c r="E19" s="86"/>
      <c r="F19" s="86"/>
      <c r="G19" s="86"/>
      <c r="H19" s="86"/>
      <c r="I19" s="86"/>
      <c r="J19" s="86"/>
      <c r="K19" s="77" t="str">
        <f t="shared" si="0"/>
        <v/>
      </c>
      <c r="L19" s="78" t="str">
        <f t="shared" si="1"/>
        <v/>
      </c>
      <c r="M19" s="86"/>
      <c r="N19" s="86"/>
      <c r="O19" s="86"/>
      <c r="P19" s="86"/>
      <c r="Q19" s="86"/>
      <c r="R19" s="86"/>
      <c r="S19" s="86"/>
      <c r="T19" s="86"/>
      <c r="U19" s="78" t="str">
        <f t="shared" si="2"/>
        <v/>
      </c>
      <c r="V19" s="81">
        <f t="shared" si="3"/>
        <v>8.5</v>
      </c>
      <c r="W19" s="82" t="str">
        <f t="shared" si="4"/>
        <v/>
      </c>
      <c r="X19" s="86"/>
      <c r="Y19" s="86"/>
    </row>
    <row r="20" spans="2:25" ht="36" customHeight="1" x14ac:dyDescent="0.35">
      <c r="B20" s="73">
        <v>13</v>
      </c>
      <c r="C20" s="86"/>
      <c r="D20" s="86"/>
      <c r="E20" s="86"/>
      <c r="F20" s="86"/>
      <c r="G20" s="86"/>
      <c r="H20" s="86"/>
      <c r="I20" s="86"/>
      <c r="J20" s="86"/>
      <c r="K20" s="77" t="str">
        <f t="shared" si="0"/>
        <v/>
      </c>
      <c r="L20" s="78" t="str">
        <f t="shared" si="1"/>
        <v/>
      </c>
      <c r="M20" s="86"/>
      <c r="N20" s="86"/>
      <c r="O20" s="86"/>
      <c r="P20" s="86"/>
      <c r="Q20" s="86"/>
      <c r="R20" s="86"/>
      <c r="S20" s="86"/>
      <c r="T20" s="86"/>
      <c r="U20" s="78" t="str">
        <f t="shared" si="2"/>
        <v/>
      </c>
      <c r="V20" s="81">
        <f t="shared" si="3"/>
        <v>8.5</v>
      </c>
      <c r="W20" s="82" t="str">
        <f t="shared" si="4"/>
        <v/>
      </c>
      <c r="X20" s="86"/>
      <c r="Y20" s="86"/>
    </row>
    <row r="21" spans="2:25" ht="36" customHeight="1" x14ac:dyDescent="0.35">
      <c r="B21" s="84">
        <v>14</v>
      </c>
      <c r="C21" s="86"/>
      <c r="D21" s="86"/>
      <c r="E21" s="86"/>
      <c r="F21" s="86"/>
      <c r="G21" s="86"/>
      <c r="H21" s="86"/>
      <c r="I21" s="86"/>
      <c r="J21" s="86"/>
      <c r="K21" s="77" t="str">
        <f t="shared" si="0"/>
        <v/>
      </c>
      <c r="L21" s="78" t="str">
        <f t="shared" si="1"/>
        <v/>
      </c>
      <c r="M21" s="86"/>
      <c r="N21" s="86"/>
      <c r="O21" s="86"/>
      <c r="P21" s="86"/>
      <c r="Q21" s="86"/>
      <c r="R21" s="86"/>
      <c r="S21" s="86"/>
      <c r="T21" s="86"/>
      <c r="U21" s="78" t="str">
        <f t="shared" si="2"/>
        <v/>
      </c>
      <c r="V21" s="81">
        <f t="shared" si="3"/>
        <v>8.5</v>
      </c>
      <c r="W21" s="82" t="str">
        <f t="shared" si="4"/>
        <v/>
      </c>
      <c r="X21" s="86"/>
      <c r="Y21" s="86"/>
    </row>
    <row r="22" spans="2:25" ht="36" customHeight="1" x14ac:dyDescent="0.35">
      <c r="B22" s="73">
        <v>15</v>
      </c>
      <c r="C22" s="86"/>
      <c r="D22" s="86"/>
      <c r="E22" s="86"/>
      <c r="F22" s="86"/>
      <c r="G22" s="86"/>
      <c r="H22" s="86"/>
      <c r="I22" s="86"/>
      <c r="J22" s="86"/>
      <c r="K22" s="77" t="str">
        <f t="shared" si="0"/>
        <v/>
      </c>
      <c r="L22" s="78" t="str">
        <f t="shared" si="1"/>
        <v/>
      </c>
      <c r="M22" s="86"/>
      <c r="N22" s="86"/>
      <c r="O22" s="86"/>
      <c r="P22" s="86"/>
      <c r="Q22" s="86"/>
      <c r="R22" s="86"/>
      <c r="S22" s="86"/>
      <c r="T22" s="86"/>
      <c r="U22" s="78" t="str">
        <f t="shared" si="2"/>
        <v/>
      </c>
      <c r="V22" s="81">
        <f t="shared" si="3"/>
        <v>8.5</v>
      </c>
      <c r="W22" s="82" t="str">
        <f t="shared" si="4"/>
        <v/>
      </c>
      <c r="X22" s="86"/>
      <c r="Y22" s="86"/>
    </row>
    <row r="23" spans="2:25" ht="21.75" customHeight="1" x14ac:dyDescent="0.35">
      <c r="B23" s="24" t="s">
        <v>187</v>
      </c>
      <c r="C23" s="87">
        <f>COUNTA(C8:C22)</f>
        <v>10</v>
      </c>
      <c r="D23" s="88"/>
      <c r="E23" s="88"/>
      <c r="F23" s="88"/>
      <c r="G23" s="88"/>
      <c r="H23" s="89">
        <f>COUNTA(H8:H22)</f>
        <v>10</v>
      </c>
      <c r="I23" s="89">
        <f>IFERROR(AVERAGEIF(I8:I22,"&lt;&gt;"),"")</f>
        <v>1849</v>
      </c>
      <c r="J23" s="89">
        <f>IF(COUNTA(J8:J22)&gt;0,SUM(J8:J22),"")</f>
        <v>16980</v>
      </c>
      <c r="K23" s="90">
        <f>IFERROR(AVERAGEIF(K8:K22,"&lt;&gt;"),"")</f>
        <v>11.9</v>
      </c>
      <c r="L23" s="91">
        <f>IFERROR(AVERAGEIF(L8:L22,"&lt;&gt;"),"")</f>
        <v>1.0220000000000002</v>
      </c>
      <c r="M23" s="88"/>
      <c r="N23" s="88"/>
      <c r="O23" s="88"/>
      <c r="P23" s="88"/>
      <c r="Q23" s="92">
        <f>IF(COUNTA(Q8:Q22)&gt;0,AVERAGE(Q8:Q22),"")</f>
        <v>0.73199999999999998</v>
      </c>
      <c r="R23" s="92">
        <f>IF(COUNTA(R8:R22)&gt;0,AVERAGE(R8:R22),"")</f>
        <v>0.31900000000000001</v>
      </c>
      <c r="S23" s="90">
        <f>IF(COUNTA(S8:S22)&gt;0,ROUND(AVERAGE(S8:S22),1),"")</f>
        <v>2.1</v>
      </c>
      <c r="T23" s="89">
        <f>IF(COUNTA(T8:T22)&gt;0,SUM(T8:T22),"")</f>
        <v>6600</v>
      </c>
      <c r="U23" s="91">
        <f>IFERROR(AVERAGEIF(U8:U22,"&lt;&gt;"),"")</f>
        <v>2.536</v>
      </c>
      <c r="V23" s="91">
        <f>IFERROR(AVERAGEIF(V8:V22,"&lt;&gt;"),"")</f>
        <v>13.263683333333331</v>
      </c>
      <c r="W23" s="93">
        <f>IFERROR(AVERAGEIF(W8:W22,"&lt;&gt;"),"")</f>
        <v>-0.79817258721670492</v>
      </c>
      <c r="X23" s="88"/>
      <c r="Y23" s="88"/>
    </row>
    <row r="25" spans="2:25" ht="25.5" customHeight="1" x14ac:dyDescent="0.35">
      <c r="B25" s="9" t="s">
        <v>188</v>
      </c>
      <c r="C25" s="9"/>
      <c r="D25" s="9"/>
      <c r="E25" s="9"/>
      <c r="F25" s="9"/>
      <c r="G25" s="9"/>
      <c r="H25" s="9"/>
      <c r="I25" s="9"/>
      <c r="J25" s="9"/>
      <c r="K25" s="9"/>
      <c r="L25" s="9"/>
      <c r="M25" s="9"/>
      <c r="N25" s="9"/>
      <c r="O25" s="9"/>
      <c r="P25" s="9"/>
      <c r="Q25" s="9"/>
      <c r="R25" s="9"/>
      <c r="S25" s="9"/>
      <c r="T25" s="9"/>
      <c r="U25" s="9"/>
      <c r="V25" s="9"/>
      <c r="W25" s="9"/>
      <c r="X25" s="9"/>
      <c r="Y25" s="9"/>
    </row>
    <row r="26" spans="2:25" ht="19.5" customHeight="1" x14ac:dyDescent="0.35">
      <c r="B26" s="173" t="s">
        <v>189</v>
      </c>
      <c r="C26" s="173"/>
      <c r="D26" s="173"/>
      <c r="E26" s="173"/>
      <c r="F26" s="173"/>
      <c r="G26" s="173"/>
      <c r="H26" s="173"/>
      <c r="I26" s="173"/>
      <c r="J26" s="173"/>
      <c r="K26" s="173"/>
      <c r="L26" s="173"/>
    </row>
    <row r="27" spans="2:25" ht="21.75" customHeight="1" x14ac:dyDescent="0.35">
      <c r="B27" s="172" t="s">
        <v>190</v>
      </c>
      <c r="C27" s="172"/>
      <c r="D27" s="172" t="s">
        <v>191</v>
      </c>
      <c r="E27" s="172"/>
      <c r="F27" s="172" t="s">
        <v>192</v>
      </c>
      <c r="G27" s="172"/>
      <c r="H27" s="172" t="s">
        <v>193</v>
      </c>
      <c r="I27" s="172"/>
      <c r="J27" s="172" t="s">
        <v>194</v>
      </c>
      <c r="K27" s="172"/>
      <c r="L27" s="172" t="s">
        <v>195</v>
      </c>
      <c r="M27" s="172"/>
    </row>
    <row r="28" spans="2:25" ht="19.5" customHeight="1" x14ac:dyDescent="0.35">
      <c r="B28" s="174" t="s">
        <v>196</v>
      </c>
      <c r="C28" s="174"/>
      <c r="D28" s="175">
        <f>IFERROR(AVERAGEIF(K8:K22,"&lt;&gt;"),"")</f>
        <v>11.9</v>
      </c>
      <c r="E28" s="175"/>
      <c r="F28" s="176">
        <f>IFERROR(AVERAGEIF(K8:K22,"&lt;&gt;"),"")</f>
        <v>11.9</v>
      </c>
      <c r="G28" s="176"/>
      <c r="H28" s="177" t="s">
        <v>197</v>
      </c>
      <c r="I28" s="177"/>
      <c r="J28" s="178">
        <f>IFERROR(ROUND(AVERAGEIF(K8:K22,"&lt;&gt;"),0),"N/A")</f>
        <v>12</v>
      </c>
      <c r="K28" s="178"/>
      <c r="L28" s="179" t="s">
        <v>198</v>
      </c>
      <c r="M28" s="179"/>
    </row>
    <row r="29" spans="2:25" ht="19.5" customHeight="1" x14ac:dyDescent="0.35">
      <c r="B29" s="174" t="s">
        <v>199</v>
      </c>
      <c r="C29" s="174"/>
      <c r="D29" s="175">
        <f>IFERROR(AVERAGEIF(L8:L22,"&lt;&gt;"),"")</f>
        <v>1.0220000000000002</v>
      </c>
      <c r="E29" s="175"/>
      <c r="F29" s="176" t="s">
        <v>197</v>
      </c>
      <c r="G29" s="176"/>
      <c r="H29" s="177">
        <f>IFERROR(AVERAGEIF(L8:L22,"&lt;&gt;"),"")</f>
        <v>1.0220000000000002</v>
      </c>
      <c r="I29" s="177"/>
      <c r="J29" s="178">
        <f>IFERROR(ROUND(AVERAGEIF(L8:L22,"&lt;&gt;"),2),"N/A")</f>
        <v>1.02</v>
      </c>
      <c r="K29" s="178"/>
      <c r="L29" s="179" t="s">
        <v>200</v>
      </c>
      <c r="M29" s="179"/>
    </row>
    <row r="30" spans="2:25" ht="19.5" customHeight="1" x14ac:dyDescent="0.35">
      <c r="B30" s="174" t="s">
        <v>201</v>
      </c>
      <c r="C30" s="174"/>
      <c r="D30" s="175" t="str">
        <f>IFERROR(MEDIAN(IF(K8:K22&lt;&gt;"",K8:K22)),"-")</f>
        <v>-</v>
      </c>
      <c r="E30" s="175"/>
      <c r="F30" s="176" t="str">
        <f>IFERROR(MEDIAN(IF(K8:K22&lt;&gt;"",K8:K22)),"-")</f>
        <v>-</v>
      </c>
      <c r="G30" s="176"/>
      <c r="H30" s="177" t="s">
        <v>197</v>
      </c>
      <c r="I30" s="177"/>
      <c r="J30" s="178" t="str">
        <f>IFERROR(MEDIAN(IF(K8:K22&lt;&gt;"",K8:K22)),"-")</f>
        <v>-</v>
      </c>
      <c r="K30" s="178"/>
      <c r="L30" s="179" t="s">
        <v>202</v>
      </c>
      <c r="M30" s="179"/>
    </row>
    <row r="31" spans="2:25" ht="19.5" customHeight="1" x14ac:dyDescent="0.35">
      <c r="B31" s="174" t="s">
        <v>203</v>
      </c>
      <c r="C31" s="174"/>
      <c r="D31" s="175" t="str">
        <f>IFERROR(MIN(IF(K8:K22&lt;&gt;"",K8:K22*1)),"-")</f>
        <v>-</v>
      </c>
      <c r="E31" s="175"/>
      <c r="F31" s="176" t="str">
        <f>IFERROR(MIN(IF(K8:K22&lt;&gt;"",K8:K22*1)),"-")</f>
        <v>-</v>
      </c>
      <c r="G31" s="176"/>
      <c r="H31" s="177" t="s">
        <v>197</v>
      </c>
      <c r="I31" s="177"/>
      <c r="J31" s="178" t="s">
        <v>197</v>
      </c>
      <c r="K31" s="178"/>
      <c r="L31" s="179" t="s">
        <v>204</v>
      </c>
      <c r="M31" s="179"/>
    </row>
    <row r="32" spans="2:25" ht="19.5" customHeight="1" x14ac:dyDescent="0.35">
      <c r="B32" s="174" t="s">
        <v>205</v>
      </c>
      <c r="C32" s="174"/>
      <c r="D32" s="175">
        <f>IFERROR(MAX(K8:K22),"-")</f>
        <v>13</v>
      </c>
      <c r="E32" s="175"/>
      <c r="F32" s="176">
        <f>IFERROR(MAX(K8:K22),"-")</f>
        <v>13</v>
      </c>
      <c r="G32" s="176"/>
      <c r="H32" s="177" t="s">
        <v>197</v>
      </c>
      <c r="I32" s="177"/>
      <c r="J32" s="178" t="s">
        <v>197</v>
      </c>
      <c r="K32" s="178"/>
      <c r="L32" s="179" t="s">
        <v>206</v>
      </c>
      <c r="M32" s="179"/>
    </row>
    <row r="33" spans="2:15" ht="19.5" customHeight="1" x14ac:dyDescent="0.35">
      <c r="B33" s="174" t="s">
        <v>207</v>
      </c>
      <c r="C33" s="174"/>
      <c r="D33" s="175" t="str">
        <f>IFERROR(ROUND(PERCENTILE(IF(K8:K22&lt;&gt;"",K8:K22*1),0.9),1),"-")</f>
        <v>-</v>
      </c>
      <c r="E33" s="175"/>
      <c r="F33" s="176" t="str">
        <f>IFERROR(ROUND(PERCENTILE(IF(K8:K22&lt;&gt;"",K8:K22*1),0.9),1),"-")</f>
        <v>-</v>
      </c>
      <c r="G33" s="176"/>
      <c r="H33" s="177" t="s">
        <v>197</v>
      </c>
      <c r="I33" s="177"/>
      <c r="J33" s="178" t="s">
        <v>197</v>
      </c>
      <c r="K33" s="178"/>
      <c r="L33" s="179" t="s">
        <v>208</v>
      </c>
      <c r="M33" s="179"/>
    </row>
    <row r="35" spans="2:15" ht="19.5" customHeight="1" x14ac:dyDescent="0.35">
      <c r="B35" s="173" t="s">
        <v>209</v>
      </c>
      <c r="C35" s="173"/>
      <c r="D35" s="173"/>
      <c r="E35" s="173"/>
      <c r="F35" s="173"/>
      <c r="G35" s="173"/>
      <c r="H35" s="173"/>
      <c r="I35" s="173"/>
      <c r="J35" s="173"/>
      <c r="K35" s="173"/>
      <c r="L35" s="173"/>
    </row>
    <row r="36" spans="2:15" ht="21.75" customHeight="1" x14ac:dyDescent="0.35">
      <c r="B36" s="172" t="s">
        <v>210</v>
      </c>
      <c r="C36" s="172"/>
      <c r="D36" s="172"/>
      <c r="E36" s="172"/>
      <c r="F36" s="172" t="s">
        <v>211</v>
      </c>
      <c r="G36" s="172"/>
      <c r="H36" s="172" t="s">
        <v>212</v>
      </c>
      <c r="I36" s="172"/>
      <c r="J36" s="172" t="s">
        <v>213</v>
      </c>
      <c r="K36" s="172"/>
      <c r="L36" s="172" t="s">
        <v>6</v>
      </c>
      <c r="M36" s="172"/>
    </row>
    <row r="37" spans="2:15" ht="19.5" customHeight="1" x14ac:dyDescent="0.35">
      <c r="B37" s="180" t="s">
        <v>152</v>
      </c>
      <c r="C37" s="180"/>
      <c r="D37" s="180"/>
      <c r="E37" s="180"/>
      <c r="F37" s="181">
        <f>IFERROR(ROUND(AVERAGEIF(F8:F22,"Refactor (LLM)",R8:R22),3),"N/A")</f>
        <v>0.30399999999999999</v>
      </c>
      <c r="G37" s="181"/>
      <c r="H37" s="182">
        <f>IFERROR(ROUND(AVERAGEIF(F8:F22,"Refactor (LLM)",S8:S22),1),"N/A")</f>
        <v>1.8</v>
      </c>
      <c r="I37" s="182"/>
      <c r="J37" s="183">
        <f>COUNTIF(F8:F22,"Refactor (LLM)")</f>
        <v>5</v>
      </c>
      <c r="K37" s="183"/>
      <c r="L37" s="184" t="s">
        <v>214</v>
      </c>
      <c r="M37" s="184"/>
    </row>
    <row r="38" spans="2:15" ht="19.5" customHeight="1" x14ac:dyDescent="0.35">
      <c r="B38" s="185" t="s">
        <v>160</v>
      </c>
      <c r="C38" s="185"/>
      <c r="D38" s="185"/>
      <c r="E38" s="185"/>
      <c r="F38" s="186">
        <f>IFERROR(ROUND(AVERAGEIF(F8:F22,"Refactor (Manual)",R8:R22),3),"N/A")</f>
        <v>0.22</v>
      </c>
      <c r="G38" s="186"/>
      <c r="H38" s="187">
        <f>IFERROR(ROUND(AVERAGEIF(F8:F22,"Refactor (Manual)",S8:S22),1),"N/A")</f>
        <v>1.5</v>
      </c>
      <c r="I38" s="187"/>
      <c r="J38" s="188">
        <f>COUNTIF(F8:F22,"Refactor (Manual)")</f>
        <v>1</v>
      </c>
      <c r="K38" s="188"/>
      <c r="L38" s="189" t="s">
        <v>215</v>
      </c>
      <c r="M38" s="189"/>
    </row>
    <row r="39" spans="2:15" ht="19.5" customHeight="1" x14ac:dyDescent="0.35">
      <c r="B39" s="180" t="s">
        <v>163</v>
      </c>
      <c r="C39" s="180"/>
      <c r="D39" s="180"/>
      <c r="E39" s="180"/>
      <c r="F39" s="181">
        <f>IFERROR(ROUND(AVERAGEIF(F8:F22,"Replatform",R8:R22),3),"N/A")</f>
        <v>0.39</v>
      </c>
      <c r="G39" s="181"/>
      <c r="H39" s="182">
        <f>IFERROR(ROUND(AVERAGEIF(F8:F22,"Replatform",S8:S22),1),"N/A")</f>
        <v>2.8</v>
      </c>
      <c r="I39" s="182"/>
      <c r="J39" s="183">
        <f>COUNTIF(F8:F22,"Replatform")</f>
        <v>2</v>
      </c>
      <c r="K39" s="183"/>
      <c r="L39" s="184" t="s">
        <v>216</v>
      </c>
      <c r="M39" s="184"/>
    </row>
    <row r="40" spans="2:15" ht="19.5" customHeight="1" x14ac:dyDescent="0.35">
      <c r="B40" s="185" t="s">
        <v>217</v>
      </c>
      <c r="C40" s="185"/>
      <c r="D40" s="185"/>
      <c r="E40" s="185"/>
      <c r="F40" s="186">
        <f>IFERROR(ROUND(AVERAGEIF(F8:F22,"Rearchitect",R8:R22),3),"N/A")</f>
        <v>0.33500000000000002</v>
      </c>
      <c r="G40" s="186"/>
      <c r="H40" s="187">
        <f>IFERROR(ROUND(AVERAGEIF(F8:F22,"Rearchitect",S8:S22),1),"N/A")</f>
        <v>2.2999999999999998</v>
      </c>
      <c r="I40" s="187"/>
      <c r="J40" s="188">
        <f>COUNTIF(F8:F22,"Rearchitect")</f>
        <v>2</v>
      </c>
      <c r="K40" s="188"/>
      <c r="L40" s="189" t="s">
        <v>218</v>
      </c>
      <c r="M40" s="189"/>
    </row>
    <row r="41" spans="2:15" ht="19.5" customHeight="1" x14ac:dyDescent="0.35">
      <c r="B41" s="190" t="s">
        <v>219</v>
      </c>
      <c r="C41" s="190"/>
      <c r="D41" s="190"/>
      <c r="E41" s="190"/>
      <c r="F41" s="191">
        <f>IFERROR(AVERAGEIF(R8:R22,"&lt;&gt;"),"")</f>
        <v>0.31900000000000001</v>
      </c>
      <c r="G41" s="191"/>
      <c r="H41" s="192">
        <f>IFERROR(AVERAGEIF(S8:S22,"&lt;&gt;"),"")</f>
        <v>2.0499999999999998</v>
      </c>
      <c r="I41" s="192"/>
      <c r="J41" s="193">
        <f>COUNTA(F8:F22)</f>
        <v>10</v>
      </c>
      <c r="K41" s="193"/>
      <c r="L41" s="194" t="s">
        <v>220</v>
      </c>
      <c r="M41" s="194"/>
    </row>
    <row r="43" spans="2:15" ht="19.5" customHeight="1" x14ac:dyDescent="0.35">
      <c r="B43" s="173" t="s">
        <v>221</v>
      </c>
      <c r="C43" s="173"/>
      <c r="D43" s="173"/>
      <c r="E43" s="173"/>
      <c r="F43" s="173"/>
      <c r="G43" s="173"/>
      <c r="H43" s="173"/>
      <c r="I43" s="173"/>
      <c r="J43" s="173"/>
      <c r="K43" s="173"/>
      <c r="L43" s="173"/>
    </row>
    <row r="44" spans="2:15" ht="21.75" customHeight="1" x14ac:dyDescent="0.35">
      <c r="B44" s="172" t="s">
        <v>190</v>
      </c>
      <c r="C44" s="172"/>
      <c r="D44" s="172"/>
      <c r="E44" s="172"/>
      <c r="F44" s="172" t="s">
        <v>85</v>
      </c>
      <c r="G44" s="172"/>
      <c r="H44" s="172"/>
      <c r="I44" s="172" t="s">
        <v>222</v>
      </c>
      <c r="J44" s="172"/>
      <c r="K44" s="172"/>
      <c r="L44" s="172" t="s">
        <v>223</v>
      </c>
      <c r="M44" s="172"/>
      <c r="N44" s="172"/>
      <c r="O44" s="172"/>
    </row>
    <row r="45" spans="2:15" ht="21.75" customHeight="1" x14ac:dyDescent="0.35">
      <c r="B45" s="174" t="s">
        <v>224</v>
      </c>
      <c r="C45" s="174"/>
      <c r="D45" s="174"/>
      <c r="E45" s="174"/>
      <c r="F45" s="195">
        <f>IFERROR(AVERAGEIF(W8:W22,"&lt;&gt;"),"")</f>
        <v>-0.79817258721670492</v>
      </c>
      <c r="G45" s="195"/>
      <c r="H45" s="195"/>
      <c r="I45" s="196" t="s">
        <v>225</v>
      </c>
      <c r="J45" s="196"/>
      <c r="K45" s="196"/>
      <c r="L45" s="197" t="s">
        <v>226</v>
      </c>
      <c r="M45" s="197"/>
      <c r="N45" s="197"/>
      <c r="O45" s="197"/>
    </row>
    <row r="46" spans="2:15" ht="21.75" customHeight="1" x14ac:dyDescent="0.35">
      <c r="B46" s="174" t="s">
        <v>227</v>
      </c>
      <c r="C46" s="174"/>
      <c r="D46" s="174"/>
      <c r="E46" s="174"/>
      <c r="F46" s="198">
        <f>IFERROR(AVERAGEIF(U8:U22,"&lt;&gt;"),"")</f>
        <v>2.536</v>
      </c>
      <c r="G46" s="198"/>
      <c r="H46" s="198"/>
      <c r="I46" s="196" t="s">
        <v>228</v>
      </c>
      <c r="J46" s="196"/>
      <c r="K46" s="196"/>
      <c r="L46" s="197" t="s">
        <v>229</v>
      </c>
      <c r="M46" s="197"/>
      <c r="N46" s="197"/>
      <c r="O46" s="197"/>
    </row>
    <row r="47" spans="2:15" ht="21.75" customHeight="1" x14ac:dyDescent="0.35">
      <c r="B47" s="174" t="s">
        <v>230</v>
      </c>
      <c r="C47" s="174"/>
      <c r="D47" s="174"/>
      <c r="E47" s="174"/>
      <c r="F47" s="198">
        <f>IFERROR(AVERAGEIF(V8:V22,"&lt;&gt;"),"")</f>
        <v>13.263683333333331</v>
      </c>
      <c r="G47" s="198"/>
      <c r="H47" s="198"/>
      <c r="I47" s="196" t="s">
        <v>231</v>
      </c>
      <c r="J47" s="196"/>
      <c r="K47" s="196"/>
      <c r="L47" s="197" t="s">
        <v>232</v>
      </c>
      <c r="M47" s="197"/>
      <c r="N47" s="197"/>
      <c r="O47" s="197"/>
    </row>
    <row r="48" spans="2:15" ht="21.75" customHeight="1" x14ac:dyDescent="0.35">
      <c r="B48" s="174" t="s">
        <v>233</v>
      </c>
      <c r="C48" s="174"/>
      <c r="D48" s="174"/>
      <c r="E48" s="174"/>
      <c r="F48" s="199">
        <f>IFERROR(COUNTIF(W8:W22,"&gt;=-0.2")-COUNTIF(W8:W22,"&gt;0.2"),"-")</f>
        <v>0</v>
      </c>
      <c r="G48" s="199"/>
      <c r="H48" s="199"/>
      <c r="I48" s="196" t="s">
        <v>234</v>
      </c>
      <c r="J48" s="196"/>
      <c r="K48" s="196"/>
      <c r="L48" s="197" t="s">
        <v>235</v>
      </c>
      <c r="M48" s="197"/>
      <c r="N48" s="197"/>
      <c r="O48" s="197"/>
    </row>
    <row r="50" spans="2:25" ht="21.75" customHeight="1" x14ac:dyDescent="0.35">
      <c r="B50" s="200" t="s">
        <v>236</v>
      </c>
      <c r="C50" s="200"/>
      <c r="D50" s="200"/>
      <c r="E50" s="200"/>
      <c r="F50" s="200"/>
      <c r="G50" s="200"/>
      <c r="H50" s="200"/>
      <c r="I50" s="200"/>
      <c r="J50" s="200"/>
      <c r="K50" s="200"/>
      <c r="L50" s="200"/>
    </row>
    <row r="51" spans="2:25" ht="21.75" customHeight="1" x14ac:dyDescent="0.35">
      <c r="B51" s="172" t="s">
        <v>237</v>
      </c>
      <c r="C51" s="172"/>
      <c r="D51" s="172"/>
      <c r="E51" s="172"/>
      <c r="F51" s="172" t="s">
        <v>238</v>
      </c>
      <c r="G51" s="172"/>
      <c r="H51" s="172"/>
      <c r="I51" s="172" t="s">
        <v>239</v>
      </c>
      <c r="J51" s="172"/>
      <c r="K51" s="172"/>
      <c r="L51" s="172" t="s">
        <v>240</v>
      </c>
      <c r="M51" s="172"/>
      <c r="N51" s="172"/>
      <c r="O51" s="172"/>
    </row>
    <row r="52" spans="2:25" ht="21.75" customHeight="1" x14ac:dyDescent="0.35">
      <c r="B52" s="201" t="s">
        <v>241</v>
      </c>
      <c r="C52" s="201"/>
      <c r="D52" s="201"/>
      <c r="E52" s="201"/>
      <c r="F52" s="178">
        <f>IFERROR(ROUND(AVERAGEIF(K8:K22,"&lt;&gt;"),0),15)</f>
        <v>12</v>
      </c>
      <c r="G52" s="178"/>
      <c r="H52" s="178"/>
      <c r="I52" s="179" t="s">
        <v>242</v>
      </c>
      <c r="J52" s="179"/>
      <c r="K52" s="179"/>
      <c r="L52" s="202" t="s">
        <v>243</v>
      </c>
      <c r="M52" s="202"/>
      <c r="N52" s="202"/>
      <c r="O52" s="202"/>
    </row>
    <row r="53" spans="2:25" ht="21.75" customHeight="1" x14ac:dyDescent="0.35">
      <c r="B53" s="201" t="s">
        <v>244</v>
      </c>
      <c r="C53" s="201"/>
      <c r="D53" s="201"/>
      <c r="E53" s="201"/>
      <c r="F53" s="178">
        <f>IFERROR(ROUND(AVERAGEIF(L8:L22,"&lt;&gt;"),1),3)</f>
        <v>1</v>
      </c>
      <c r="G53" s="178"/>
      <c r="H53" s="178"/>
      <c r="I53" s="179" t="s">
        <v>242</v>
      </c>
      <c r="J53" s="179"/>
      <c r="K53" s="179"/>
      <c r="L53" s="202" t="s">
        <v>243</v>
      </c>
      <c r="M53" s="202"/>
      <c r="N53" s="202"/>
      <c r="O53" s="202"/>
    </row>
    <row r="54" spans="2:25" ht="21.75" customHeight="1" x14ac:dyDescent="0.35">
      <c r="B54" s="201" t="s">
        <v>245</v>
      </c>
      <c r="C54" s="201"/>
      <c r="D54" s="201"/>
      <c r="E54" s="201"/>
      <c r="F54" s="178" t="str">
        <f>IFERROR(ROUND(AVERAGEIF(R8:R22,"&lt;&gt;")*100,0)&amp;"%","30%")</f>
        <v>32%</v>
      </c>
      <c r="G54" s="178"/>
      <c r="H54" s="178"/>
      <c r="I54" s="179" t="s">
        <v>246</v>
      </c>
      <c r="J54" s="179"/>
      <c r="K54" s="179"/>
      <c r="L54" s="202" t="s">
        <v>243</v>
      </c>
      <c r="M54" s="202"/>
      <c r="N54" s="202"/>
      <c r="O54" s="202"/>
    </row>
    <row r="55" spans="2:25" ht="21.75" customHeight="1" x14ac:dyDescent="0.35">
      <c r="B55" s="201" t="s">
        <v>33</v>
      </c>
      <c r="C55" s="201"/>
      <c r="D55" s="201"/>
      <c r="E55" s="201"/>
      <c r="F55" s="178">
        <f>IFERROR(ROUND(AVERAGEIF(S8:S22,"&lt;&gt;"),1),2)</f>
        <v>2.1</v>
      </c>
      <c r="G55" s="178"/>
      <c r="H55" s="178"/>
      <c r="I55" s="179" t="s">
        <v>247</v>
      </c>
      <c r="J55" s="179"/>
      <c r="K55" s="179"/>
      <c r="L55" s="202" t="s">
        <v>243</v>
      </c>
      <c r="M55" s="202"/>
      <c r="N55" s="202"/>
      <c r="O55" s="202"/>
    </row>
    <row r="56" spans="2:25" ht="21.75" customHeight="1" x14ac:dyDescent="0.35">
      <c r="B56" s="201" t="s">
        <v>248</v>
      </c>
      <c r="C56" s="201"/>
      <c r="D56" s="201"/>
      <c r="E56" s="201"/>
      <c r="F56" s="178">
        <f>IFERROR(ROUND(AVERAGEIF(U8:U22,"&lt;&gt;"),2),4.25)</f>
        <v>2.54</v>
      </c>
      <c r="G56" s="178"/>
      <c r="H56" s="178"/>
      <c r="I56" s="179" t="s">
        <v>249</v>
      </c>
      <c r="J56" s="179"/>
      <c r="K56" s="179"/>
      <c r="L56" s="202" t="s">
        <v>243</v>
      </c>
      <c r="M56" s="202"/>
      <c r="N56" s="202"/>
      <c r="O56" s="202"/>
    </row>
    <row r="58" spans="2:25" ht="27.75" customHeight="1" x14ac:dyDescent="0.35">
      <c r="B58" s="203" t="s">
        <v>250</v>
      </c>
      <c r="C58" s="203"/>
      <c r="D58" s="203"/>
      <c r="E58" s="203"/>
      <c r="F58" s="203"/>
      <c r="G58" s="203"/>
      <c r="H58" s="203"/>
      <c r="I58" s="203"/>
      <c r="J58" s="203"/>
      <c r="K58" s="203"/>
      <c r="L58" s="203"/>
      <c r="M58" s="203"/>
      <c r="N58" s="203"/>
      <c r="O58" s="203"/>
      <c r="P58" s="203"/>
      <c r="Q58" s="203"/>
      <c r="R58" s="203"/>
      <c r="S58" s="203"/>
      <c r="T58" s="203"/>
      <c r="U58" s="203"/>
      <c r="V58" s="203"/>
      <c r="W58" s="203"/>
      <c r="X58" s="203"/>
      <c r="Y58" s="203"/>
    </row>
  </sheetData>
  <mergeCells count="132">
    <mergeCell ref="B55:E55"/>
    <mergeCell ref="F55:H55"/>
    <mergeCell ref="I55:K55"/>
    <mergeCell ref="L55:O55"/>
    <mergeCell ref="B56:E56"/>
    <mergeCell ref="F56:H56"/>
    <mergeCell ref="I56:K56"/>
    <mergeCell ref="L56:O56"/>
    <mergeCell ref="B58:Y58"/>
    <mergeCell ref="B52:E52"/>
    <mergeCell ref="F52:H52"/>
    <mergeCell ref="I52:K52"/>
    <mergeCell ref="L52:O52"/>
    <mergeCell ref="B53:E53"/>
    <mergeCell ref="F53:H53"/>
    <mergeCell ref="I53:K53"/>
    <mergeCell ref="L53:O53"/>
    <mergeCell ref="B54:E54"/>
    <mergeCell ref="F54:H54"/>
    <mergeCell ref="I54:K54"/>
    <mergeCell ref="L54:O54"/>
    <mergeCell ref="B48:E48"/>
    <mergeCell ref="F48:H48"/>
    <mergeCell ref="I48:K48"/>
    <mergeCell ref="L48:O48"/>
    <mergeCell ref="B50:L50"/>
    <mergeCell ref="B51:E51"/>
    <mergeCell ref="F51:H51"/>
    <mergeCell ref="I51:K51"/>
    <mergeCell ref="L51:O51"/>
    <mergeCell ref="B45:E45"/>
    <mergeCell ref="F45:H45"/>
    <mergeCell ref="I45:K45"/>
    <mergeCell ref="L45:O45"/>
    <mergeCell ref="B46:E46"/>
    <mergeCell ref="F46:H46"/>
    <mergeCell ref="I46:K46"/>
    <mergeCell ref="L46:O46"/>
    <mergeCell ref="B47:E47"/>
    <mergeCell ref="F47:H47"/>
    <mergeCell ref="I47:K47"/>
    <mergeCell ref="L47:O47"/>
    <mergeCell ref="B41:E41"/>
    <mergeCell ref="F41:G41"/>
    <mergeCell ref="H41:I41"/>
    <mergeCell ref="J41:K41"/>
    <mergeCell ref="L41:M41"/>
    <mergeCell ref="B43:L43"/>
    <mergeCell ref="B44:E44"/>
    <mergeCell ref="F44:H44"/>
    <mergeCell ref="I44:K44"/>
    <mergeCell ref="L44:O44"/>
    <mergeCell ref="B39:E39"/>
    <mergeCell ref="F39:G39"/>
    <mergeCell ref="H39:I39"/>
    <mergeCell ref="J39:K39"/>
    <mergeCell ref="L39:M39"/>
    <mergeCell ref="B40:E40"/>
    <mergeCell ref="F40:G40"/>
    <mergeCell ref="H40:I40"/>
    <mergeCell ref="J40:K40"/>
    <mergeCell ref="L40:M40"/>
    <mergeCell ref="B37:E37"/>
    <mergeCell ref="F37:G37"/>
    <mergeCell ref="H37:I37"/>
    <mergeCell ref="J37:K37"/>
    <mergeCell ref="L37:M37"/>
    <mergeCell ref="B38:E38"/>
    <mergeCell ref="F38:G38"/>
    <mergeCell ref="H38:I38"/>
    <mergeCell ref="J38:K38"/>
    <mergeCell ref="L38:M38"/>
    <mergeCell ref="B33:C33"/>
    <mergeCell ref="D33:E33"/>
    <mergeCell ref="F33:G33"/>
    <mergeCell ref="H33:I33"/>
    <mergeCell ref="J33:K33"/>
    <mergeCell ref="L33:M33"/>
    <mergeCell ref="B35:L35"/>
    <mergeCell ref="B36:E36"/>
    <mergeCell ref="F36:G36"/>
    <mergeCell ref="H36:I36"/>
    <mergeCell ref="J36:K36"/>
    <mergeCell ref="L36:M36"/>
    <mergeCell ref="B31:C31"/>
    <mergeCell ref="D31:E31"/>
    <mergeCell ref="F31:G31"/>
    <mergeCell ref="H31:I31"/>
    <mergeCell ref="J31:K31"/>
    <mergeCell ref="L31:M31"/>
    <mergeCell ref="B32:C32"/>
    <mergeCell ref="D32:E32"/>
    <mergeCell ref="F32:G32"/>
    <mergeCell ref="H32:I32"/>
    <mergeCell ref="J32:K32"/>
    <mergeCell ref="L32:M32"/>
    <mergeCell ref="B29:C29"/>
    <mergeCell ref="D29:E29"/>
    <mergeCell ref="F29:G29"/>
    <mergeCell ref="H29:I29"/>
    <mergeCell ref="J29:K29"/>
    <mergeCell ref="L29:M29"/>
    <mergeCell ref="B30:C30"/>
    <mergeCell ref="D30:E30"/>
    <mergeCell ref="F30:G30"/>
    <mergeCell ref="H30:I30"/>
    <mergeCell ref="J30:K30"/>
    <mergeCell ref="L30:M30"/>
    <mergeCell ref="B25:Y25"/>
    <mergeCell ref="B26:L26"/>
    <mergeCell ref="B27:C27"/>
    <mergeCell ref="D27:E27"/>
    <mergeCell ref="F27:G27"/>
    <mergeCell ref="H27:I27"/>
    <mergeCell ref="J27:K27"/>
    <mergeCell ref="L27:M27"/>
    <mergeCell ref="B28:C28"/>
    <mergeCell ref="D28:E28"/>
    <mergeCell ref="F28:G28"/>
    <mergeCell ref="H28:I28"/>
    <mergeCell ref="J28:K28"/>
    <mergeCell ref="L28:M28"/>
    <mergeCell ref="A1:Z2"/>
    <mergeCell ref="A3:Z3"/>
    <mergeCell ref="B5:Y5"/>
    <mergeCell ref="C6:E6"/>
    <mergeCell ref="F6:G6"/>
    <mergeCell ref="H6:I6"/>
    <mergeCell ref="J6:L6"/>
    <mergeCell ref="M6:P6"/>
    <mergeCell ref="Q6:S6"/>
    <mergeCell ref="T6:W6"/>
  </mergeCells>
  <conditionalFormatting sqref="R8:R22">
    <cfRule type="dataBar" priority="3">
      <dataBar>
        <cfvo type="min"/>
        <cfvo type="max"/>
        <color rgb="FFFF9900"/>
      </dataBar>
      <extLst>
        <ext xmlns:x14="http://schemas.microsoft.com/office/spreadsheetml/2009/9/main" uri="{B025F937-C7B1-47D3-B67F-A62EFF666E3E}">
          <x14:id>{265EAD5C-2FC2-4963-9550-F9384B71D0AB}</x14:id>
        </ext>
      </extLst>
    </cfRule>
  </conditionalFormatting>
  <conditionalFormatting sqref="U8:U22">
    <cfRule type="colorScale" priority="4">
      <colorScale>
        <cfvo type="num" val="2"/>
        <cfvo type="num" val="4.25"/>
        <cfvo type="num" val="8"/>
        <color rgb="FFE2EFDA"/>
        <color rgb="FFFFFF00"/>
        <color rgb="FFFCE4D6"/>
      </colorScale>
    </cfRule>
  </conditionalFormatting>
  <conditionalFormatting sqref="W8:W22">
    <cfRule type="colorScale" priority="2">
      <colorScale>
        <cfvo type="num" val="-0.5"/>
        <cfvo type="num" val="0"/>
        <cfvo type="num" val="0.5"/>
        <color rgb="FFE24B4A"/>
        <color rgb="FFFFFFFF"/>
        <color rgb="FF375623"/>
      </colorScale>
    </cfRule>
  </conditionalFormatting>
  <dataValidations count="7">
    <dataValidation type="list" allowBlank="1" sqref="D8:D22" xr:uid="{00000000-0002-0000-0100-000000000000}">
      <formula1>"Retail Bank,Investment Bank,Insurance,Government,Payments,Credit Union,Other"</formula1>
      <formula2>0</formula2>
    </dataValidation>
    <dataValidation type="list" allowBlank="1" sqref="E8:E22" xr:uid="{00000000-0002-0000-0100-000001000000}">
      <formula1>"AWS,Azure,GCP,On-Prem,Hybrid AWS,Hybrid Azure,Other"</formula1>
      <formula2>0</formula2>
    </dataValidation>
    <dataValidation type="list" allowBlank="1" sqref="F8:F22" xr:uid="{00000000-0002-0000-0100-000002000000}">
      <formula1>"Refactor (LLM),Refactor (Manual),Replatform,Rearchitect,Rewrite"</formula1>
      <formula2>0</formula2>
    </dataValidation>
    <dataValidation type="list" allowBlank="1" sqref="M8:N22" xr:uid="{00000000-0002-0000-0100-000003000000}">
      <formula1>"Low,Medium,High"</formula1>
      <formula2>0</formula2>
    </dataValidation>
    <dataValidation type="list" allowBlank="1" sqref="O8:O22" xr:uid="{00000000-0002-0000-0100-000005000000}">
      <formula1>"Standard,Complex"</formula1>
      <formula2>0</formula2>
    </dataValidation>
    <dataValidation type="list" allowBlank="1" sqref="P8:P22" xr:uid="{00000000-0002-0000-0100-000006000000}">
      <formula1>"None,Moderate,High"</formula1>
      <formula2>0</formula2>
    </dataValidation>
    <dataValidation type="list" allowBlank="1" sqref="X8:X22" xr:uid="{00000000-0002-0000-0100-000007000000}">
      <formula1>"High (actual data),Medium (interpolated),Low (estimated)"</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265EAD5C-2FC2-4963-9550-F9384B71D0AB}">
            <x14:dataBar axisPosition="none">
              <x14:cfvo type="min"/>
              <x14:cfvo type="max"/>
              <x14:negativeFillColor rgb="FFFF9900"/>
            </x14:dataBar>
          </x14:cfRule>
          <xm:sqref>R8:R22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496"/>
  </sheetPr>
  <dimension ref="A1:H29"/>
  <sheetViews>
    <sheetView showGridLines="0" tabSelected="1" zoomScale="90" zoomScaleNormal="90" workbookViewId="0">
      <selection sqref="A1:H2"/>
    </sheetView>
  </sheetViews>
  <sheetFormatPr defaultColWidth="8.6328125" defaultRowHeight="14.5" x14ac:dyDescent="0.35"/>
  <cols>
    <col min="1" max="1" width="3" customWidth="1"/>
    <col min="2" max="2" width="28" customWidth="1"/>
    <col min="3" max="5" width="22" customWidth="1"/>
    <col min="6" max="6" width="18" customWidth="1"/>
    <col min="7" max="7" width="31.36328125" customWidth="1"/>
    <col min="8" max="8" width="5" customWidth="1"/>
  </cols>
  <sheetData>
    <row r="1" spans="1:8" ht="33.75" customHeight="1" x14ac:dyDescent="0.35">
      <c r="A1" s="5" t="s">
        <v>251</v>
      </c>
      <c r="B1" s="5"/>
      <c r="C1" s="5"/>
      <c r="D1" s="5"/>
      <c r="E1" s="5"/>
      <c r="F1" s="5"/>
      <c r="G1" s="5"/>
      <c r="H1" s="5"/>
    </row>
    <row r="2" spans="1:8" ht="15" customHeight="1" x14ac:dyDescent="0.35">
      <c r="A2" s="5"/>
      <c r="B2" s="5"/>
      <c r="C2" s="5"/>
      <c r="D2" s="5"/>
      <c r="E2" s="5"/>
      <c r="F2" s="5"/>
      <c r="G2" s="5"/>
      <c r="H2" s="5"/>
    </row>
    <row r="4" spans="1:8" ht="21.75" customHeight="1" x14ac:dyDescent="0.35">
      <c r="B4" s="204" t="s">
        <v>252</v>
      </c>
      <c r="C4" s="204"/>
      <c r="D4" s="204"/>
      <c r="E4" s="204"/>
      <c r="F4" s="204"/>
      <c r="G4" s="204"/>
    </row>
    <row r="5" spans="1:8" ht="27.75" customHeight="1" x14ac:dyDescent="0.35">
      <c r="B5" s="27" t="s">
        <v>253</v>
      </c>
      <c r="C5" s="27" t="s">
        <v>254</v>
      </c>
      <c r="D5" s="27" t="s">
        <v>255</v>
      </c>
      <c r="E5" s="27" t="s">
        <v>256</v>
      </c>
      <c r="F5" s="27" t="s">
        <v>257</v>
      </c>
      <c r="G5" s="27" t="s">
        <v>258</v>
      </c>
    </row>
    <row r="6" spans="1:8" ht="36" customHeight="1" x14ac:dyDescent="0.35">
      <c r="B6" s="94" t="s">
        <v>259</v>
      </c>
      <c r="C6" s="95" t="s">
        <v>260</v>
      </c>
      <c r="D6" s="95" t="s">
        <v>261</v>
      </c>
      <c r="E6" s="95" t="s">
        <v>262</v>
      </c>
      <c r="F6" s="95" t="s">
        <v>263</v>
      </c>
      <c r="G6" s="95" t="s">
        <v>264</v>
      </c>
    </row>
    <row r="7" spans="1:8" ht="36" customHeight="1" x14ac:dyDescent="0.35">
      <c r="B7" s="96" t="s">
        <v>265</v>
      </c>
      <c r="C7" s="97" t="s">
        <v>266</v>
      </c>
      <c r="D7" s="97" t="s">
        <v>267</v>
      </c>
      <c r="E7" s="97" t="s">
        <v>268</v>
      </c>
      <c r="F7" s="97" t="s">
        <v>269</v>
      </c>
      <c r="G7" s="97" t="s">
        <v>270</v>
      </c>
    </row>
    <row r="8" spans="1:8" ht="36" customHeight="1" x14ac:dyDescent="0.35">
      <c r="B8" s="94" t="s">
        <v>271</v>
      </c>
      <c r="C8" s="95" t="s">
        <v>272</v>
      </c>
      <c r="D8" s="95" t="s">
        <v>273</v>
      </c>
      <c r="E8" s="95" t="s">
        <v>274</v>
      </c>
      <c r="F8" s="95" t="s">
        <v>275</v>
      </c>
      <c r="G8" s="95" t="s">
        <v>276</v>
      </c>
    </row>
    <row r="9" spans="1:8" ht="36" customHeight="1" x14ac:dyDescent="0.35">
      <c r="B9" s="96" t="s">
        <v>277</v>
      </c>
      <c r="C9" s="97" t="s">
        <v>278</v>
      </c>
      <c r="D9" s="97" t="s">
        <v>279</v>
      </c>
      <c r="E9" s="97" t="s">
        <v>280</v>
      </c>
      <c r="F9" s="97" t="s">
        <v>281</v>
      </c>
      <c r="G9" s="97" t="s">
        <v>282</v>
      </c>
    </row>
    <row r="10" spans="1:8" ht="36" customHeight="1" x14ac:dyDescent="0.35">
      <c r="B10" s="94" t="s">
        <v>283</v>
      </c>
      <c r="C10" s="95" t="s">
        <v>284</v>
      </c>
      <c r="D10" s="95" t="s">
        <v>285</v>
      </c>
      <c r="E10" s="95" t="s">
        <v>286</v>
      </c>
      <c r="F10" s="95" t="s">
        <v>287</v>
      </c>
      <c r="G10" s="95" t="s">
        <v>288</v>
      </c>
    </row>
    <row r="12" spans="1:8" ht="21.75" customHeight="1" x14ac:dyDescent="0.35">
      <c r="B12" s="204" t="s">
        <v>289</v>
      </c>
      <c r="C12" s="204"/>
      <c r="D12" s="204"/>
      <c r="E12" s="204"/>
      <c r="F12" s="204"/>
      <c r="G12" s="204"/>
    </row>
    <row r="13" spans="1:8" ht="27.75" customHeight="1" x14ac:dyDescent="0.35">
      <c r="B13" s="27" t="s">
        <v>290</v>
      </c>
      <c r="C13" s="27" t="s">
        <v>46</v>
      </c>
      <c r="D13" s="27" t="s">
        <v>47</v>
      </c>
      <c r="E13" s="27" t="s">
        <v>291</v>
      </c>
      <c r="F13" s="27" t="s">
        <v>292</v>
      </c>
      <c r="G13" s="27" t="s">
        <v>293</v>
      </c>
    </row>
    <row r="14" spans="1:8" ht="30" customHeight="1" x14ac:dyDescent="0.35">
      <c r="B14" s="98" t="s">
        <v>49</v>
      </c>
      <c r="C14" s="98" t="s">
        <v>294</v>
      </c>
      <c r="D14" s="99" t="s">
        <v>295</v>
      </c>
      <c r="E14" s="99" t="s">
        <v>296</v>
      </c>
      <c r="F14" s="99" t="s">
        <v>297</v>
      </c>
      <c r="G14" s="99" t="s">
        <v>298</v>
      </c>
    </row>
    <row r="15" spans="1:8" ht="30" customHeight="1" x14ac:dyDescent="0.35">
      <c r="B15" s="100" t="s">
        <v>153</v>
      </c>
      <c r="C15" s="100" t="s">
        <v>299</v>
      </c>
      <c r="D15" s="101" t="s">
        <v>300</v>
      </c>
      <c r="E15" s="101" t="s">
        <v>301</v>
      </c>
      <c r="F15" s="101" t="s">
        <v>302</v>
      </c>
      <c r="G15" s="101" t="s">
        <v>303</v>
      </c>
    </row>
    <row r="16" spans="1:8" ht="30" customHeight="1" x14ac:dyDescent="0.35">
      <c r="B16" s="102" t="s">
        <v>155</v>
      </c>
      <c r="C16" s="102" t="s">
        <v>304</v>
      </c>
      <c r="D16" s="103" t="s">
        <v>305</v>
      </c>
      <c r="E16" s="103" t="s">
        <v>306</v>
      </c>
      <c r="F16" s="103" t="s">
        <v>307</v>
      </c>
      <c r="G16" s="103" t="s">
        <v>308</v>
      </c>
    </row>
    <row r="18" spans="2:7" ht="21.75" customHeight="1" x14ac:dyDescent="0.35">
      <c r="B18" s="204" t="s">
        <v>309</v>
      </c>
      <c r="C18" s="204"/>
      <c r="D18" s="204"/>
      <c r="E18" s="204"/>
      <c r="F18" s="204"/>
      <c r="G18" s="204"/>
    </row>
    <row r="19" spans="2:7" ht="27.75" customHeight="1" x14ac:dyDescent="0.35">
      <c r="B19" s="27" t="s">
        <v>61</v>
      </c>
      <c r="C19" s="27" t="s">
        <v>310</v>
      </c>
      <c r="D19" s="27" t="s">
        <v>311</v>
      </c>
      <c r="E19" s="27" t="s">
        <v>312</v>
      </c>
      <c r="F19" s="27" t="s">
        <v>313</v>
      </c>
      <c r="G19" s="27" t="s">
        <v>314</v>
      </c>
    </row>
    <row r="20" spans="2:7" ht="48" customHeight="1" x14ac:dyDescent="0.35">
      <c r="B20" s="104" t="s">
        <v>67</v>
      </c>
      <c r="C20" s="105">
        <v>0.35</v>
      </c>
      <c r="D20" s="106" t="s">
        <v>315</v>
      </c>
      <c r="E20" s="105">
        <v>0.25</v>
      </c>
      <c r="F20" s="105">
        <v>0.5</v>
      </c>
      <c r="G20" s="106" t="s">
        <v>316</v>
      </c>
    </row>
    <row r="21" spans="2:7" ht="48" customHeight="1" x14ac:dyDescent="0.35">
      <c r="B21" s="107" t="s">
        <v>69</v>
      </c>
      <c r="C21" s="108">
        <v>0.55000000000000004</v>
      </c>
      <c r="D21" s="109" t="s">
        <v>317</v>
      </c>
      <c r="E21" s="108">
        <v>0.35</v>
      </c>
      <c r="F21" s="108">
        <v>1.2</v>
      </c>
      <c r="G21" s="109" t="s">
        <v>318</v>
      </c>
    </row>
    <row r="22" spans="2:7" ht="48" customHeight="1" x14ac:dyDescent="0.35">
      <c r="B22" s="104" t="s">
        <v>319</v>
      </c>
      <c r="C22" s="105">
        <v>0.8</v>
      </c>
      <c r="D22" s="106" t="s">
        <v>320</v>
      </c>
      <c r="E22" s="105">
        <v>0.55000000000000004</v>
      </c>
      <c r="F22" s="105">
        <v>1.5</v>
      </c>
      <c r="G22" s="106" t="s">
        <v>321</v>
      </c>
    </row>
    <row r="23" spans="2:7" ht="48" customHeight="1" x14ac:dyDescent="0.35">
      <c r="B23" s="107" t="s">
        <v>322</v>
      </c>
      <c r="C23" s="108">
        <v>2</v>
      </c>
      <c r="D23" s="109" t="s">
        <v>323</v>
      </c>
      <c r="E23" s="108">
        <v>1.5</v>
      </c>
      <c r="F23" s="108">
        <v>3</v>
      </c>
      <c r="G23" s="109" t="s">
        <v>324</v>
      </c>
    </row>
    <row r="24" spans="2:7" ht="48" customHeight="1" x14ac:dyDescent="0.35">
      <c r="B24" s="104" t="s">
        <v>325</v>
      </c>
      <c r="C24" s="105">
        <v>0.55000000000000004</v>
      </c>
      <c r="D24" s="106" t="s">
        <v>326</v>
      </c>
      <c r="E24" s="105">
        <v>0.4</v>
      </c>
      <c r="F24" s="105">
        <v>1.2</v>
      </c>
      <c r="G24" s="106" t="s">
        <v>327</v>
      </c>
    </row>
    <row r="25" spans="2:7" ht="48" customHeight="1" x14ac:dyDescent="0.35">
      <c r="B25" s="107" t="s">
        <v>328</v>
      </c>
      <c r="C25" s="108">
        <v>0.45</v>
      </c>
      <c r="D25" s="109" t="s">
        <v>329</v>
      </c>
      <c r="E25" s="108">
        <v>0.3</v>
      </c>
      <c r="F25" s="108">
        <v>0.8</v>
      </c>
      <c r="G25" s="109" t="s">
        <v>330</v>
      </c>
    </row>
    <row r="26" spans="2:7" ht="48" customHeight="1" x14ac:dyDescent="0.35">
      <c r="B26" s="104" t="s">
        <v>331</v>
      </c>
      <c r="C26" s="105">
        <v>1</v>
      </c>
      <c r="D26" s="106" t="s">
        <v>332</v>
      </c>
      <c r="E26" s="105">
        <v>0.75</v>
      </c>
      <c r="F26" s="105">
        <v>2</v>
      </c>
      <c r="G26" s="106" t="s">
        <v>333</v>
      </c>
    </row>
    <row r="27" spans="2:7" ht="48" customHeight="1" x14ac:dyDescent="0.35">
      <c r="B27" s="107" t="s">
        <v>334</v>
      </c>
      <c r="C27" s="108">
        <v>0.35</v>
      </c>
      <c r="D27" s="109" t="s">
        <v>335</v>
      </c>
      <c r="E27" s="108">
        <v>0.25</v>
      </c>
      <c r="F27" s="108">
        <v>0.6</v>
      </c>
      <c r="G27" s="109" t="s">
        <v>336</v>
      </c>
    </row>
    <row r="28" spans="2:7" ht="66" customHeight="1" x14ac:dyDescent="0.35">
      <c r="B28" s="104" t="s">
        <v>78</v>
      </c>
      <c r="C28" s="105">
        <v>0.2</v>
      </c>
      <c r="D28" s="106" t="s">
        <v>337</v>
      </c>
      <c r="E28" s="105">
        <v>0.15</v>
      </c>
      <c r="F28" s="105">
        <v>0.35</v>
      </c>
      <c r="G28" s="106" t="s">
        <v>338</v>
      </c>
    </row>
    <row r="29" spans="2:7" ht="70" customHeight="1" x14ac:dyDescent="0.35">
      <c r="B29" s="110" t="s">
        <v>339</v>
      </c>
      <c r="C29" s="111">
        <v>4.25</v>
      </c>
      <c r="D29" s="112" t="s">
        <v>340</v>
      </c>
      <c r="E29" s="111">
        <v>3.45</v>
      </c>
      <c r="F29" s="111">
        <v>8.0500000000000007</v>
      </c>
      <c r="G29" s="112"/>
    </row>
  </sheetData>
  <mergeCells count="4">
    <mergeCell ref="A1:H2"/>
    <mergeCell ref="B4:G4"/>
    <mergeCell ref="B12:G12"/>
    <mergeCell ref="B18:G1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33C00"/>
  </sheetPr>
  <dimension ref="A1:J20"/>
  <sheetViews>
    <sheetView showGridLines="0" zoomScaleNormal="100" workbookViewId="0">
      <pane xSplit="1" ySplit="5" topLeftCell="B13" activePane="bottomRight" state="frozen"/>
      <selection pane="topRight" activeCell="B1" sqref="B1"/>
      <selection pane="bottomLeft" activeCell="A6" sqref="A6"/>
      <selection pane="bottomRight" sqref="A1:J2"/>
    </sheetView>
  </sheetViews>
  <sheetFormatPr defaultColWidth="8.6328125" defaultRowHeight="14.5" x14ac:dyDescent="0.35"/>
  <cols>
    <col min="1" max="1" width="3" customWidth="1"/>
    <col min="2" max="2" width="5" customWidth="1"/>
    <col min="3" max="3" width="30" customWidth="1"/>
    <col min="4" max="4" width="22" customWidth="1"/>
    <col min="5" max="7" width="14" customWidth="1"/>
    <col min="8" max="9" width="28" customWidth="1"/>
    <col min="10" max="10" width="5" customWidth="1"/>
  </cols>
  <sheetData>
    <row r="1" spans="1:10" ht="33.75" customHeight="1" x14ac:dyDescent="0.35">
      <c r="A1" s="205" t="s">
        <v>341</v>
      </c>
      <c r="B1" s="205"/>
      <c r="C1" s="205"/>
      <c r="D1" s="205"/>
      <c r="E1" s="205"/>
      <c r="F1" s="205"/>
      <c r="G1" s="205"/>
      <c r="H1" s="205"/>
      <c r="I1" s="205"/>
      <c r="J1" s="205"/>
    </row>
    <row r="2" spans="1:10" ht="15" customHeight="1" x14ac:dyDescent="0.35">
      <c r="A2" s="205"/>
      <c r="B2" s="205"/>
      <c r="C2" s="205"/>
      <c r="D2" s="205"/>
      <c r="E2" s="205"/>
      <c r="F2" s="205"/>
      <c r="G2" s="205"/>
      <c r="H2" s="205"/>
      <c r="I2" s="205"/>
      <c r="J2" s="205"/>
    </row>
    <row r="4" spans="1:10" ht="18" customHeight="1" x14ac:dyDescent="0.35">
      <c r="B4" s="206" t="s">
        <v>342</v>
      </c>
      <c r="C4" s="206"/>
      <c r="D4" s="206"/>
      <c r="E4" s="206"/>
      <c r="F4" s="206"/>
      <c r="G4" s="206"/>
      <c r="H4" s="206"/>
      <c r="I4" s="206"/>
    </row>
    <row r="5" spans="1:10" ht="27.75" customHeight="1" x14ac:dyDescent="0.35">
      <c r="B5" s="113" t="s">
        <v>125</v>
      </c>
      <c r="C5" s="113" t="s">
        <v>343</v>
      </c>
      <c r="D5" s="113" t="s">
        <v>344</v>
      </c>
      <c r="E5" s="113" t="s">
        <v>345</v>
      </c>
      <c r="F5" s="113" t="s">
        <v>346</v>
      </c>
      <c r="G5" s="113" t="s">
        <v>347</v>
      </c>
      <c r="H5" s="113" t="s">
        <v>348</v>
      </c>
      <c r="I5" s="113" t="s">
        <v>349</v>
      </c>
    </row>
    <row r="6" spans="1:10" ht="60" customHeight="1" x14ac:dyDescent="0.35">
      <c r="B6" s="114">
        <v>1</v>
      </c>
      <c r="C6" s="115" t="s">
        <v>350</v>
      </c>
      <c r="D6" s="116" t="s">
        <v>351</v>
      </c>
      <c r="E6" s="114" t="s">
        <v>155</v>
      </c>
      <c r="F6" s="117" t="s">
        <v>155</v>
      </c>
      <c r="G6" s="114" t="s">
        <v>352</v>
      </c>
      <c r="H6" s="118" t="s">
        <v>353</v>
      </c>
      <c r="I6" s="119" t="s">
        <v>354</v>
      </c>
    </row>
    <row r="7" spans="1:10" ht="60" customHeight="1" x14ac:dyDescent="0.35">
      <c r="B7" s="114">
        <v>2</v>
      </c>
      <c r="C7" s="115" t="s">
        <v>355</v>
      </c>
      <c r="D7" s="116" t="s">
        <v>356</v>
      </c>
      <c r="E7" s="114" t="s">
        <v>155</v>
      </c>
      <c r="F7" s="117" t="s">
        <v>155</v>
      </c>
      <c r="G7" s="114" t="s">
        <v>352</v>
      </c>
      <c r="H7" s="118" t="s">
        <v>357</v>
      </c>
      <c r="I7" s="119" t="s">
        <v>354</v>
      </c>
    </row>
    <row r="8" spans="1:10" ht="60" customHeight="1" x14ac:dyDescent="0.35">
      <c r="B8" s="120">
        <v>3</v>
      </c>
      <c r="C8" s="115" t="s">
        <v>358</v>
      </c>
      <c r="D8" s="116" t="s">
        <v>359</v>
      </c>
      <c r="E8" s="117" t="s">
        <v>155</v>
      </c>
      <c r="F8" s="120" t="s">
        <v>153</v>
      </c>
      <c r="G8" s="120" t="s">
        <v>155</v>
      </c>
      <c r="H8" s="118" t="s">
        <v>360</v>
      </c>
      <c r="I8" s="119" t="s">
        <v>354</v>
      </c>
    </row>
    <row r="9" spans="1:10" ht="60" customHeight="1" x14ac:dyDescent="0.35">
      <c r="B9" s="120">
        <v>4</v>
      </c>
      <c r="C9" s="115" t="s">
        <v>361</v>
      </c>
      <c r="D9" s="116" t="s">
        <v>362</v>
      </c>
      <c r="E9" s="120" t="s">
        <v>153</v>
      </c>
      <c r="F9" s="117" t="s">
        <v>155</v>
      </c>
      <c r="G9" s="120" t="s">
        <v>155</v>
      </c>
      <c r="H9" s="118" t="s">
        <v>363</v>
      </c>
      <c r="I9" s="119" t="s">
        <v>354</v>
      </c>
    </row>
    <row r="10" spans="1:10" ht="60" customHeight="1" x14ac:dyDescent="0.35">
      <c r="B10" s="120">
        <v>5</v>
      </c>
      <c r="C10" s="115" t="s">
        <v>364</v>
      </c>
      <c r="D10" s="116" t="s">
        <v>365</v>
      </c>
      <c r="E10" s="120" t="s">
        <v>153</v>
      </c>
      <c r="F10" s="120" t="s">
        <v>153</v>
      </c>
      <c r="G10" s="120" t="s">
        <v>155</v>
      </c>
      <c r="H10" s="118" t="s">
        <v>366</v>
      </c>
      <c r="I10" s="119" t="s">
        <v>354</v>
      </c>
    </row>
    <row r="11" spans="1:10" ht="60" customHeight="1" x14ac:dyDescent="0.35">
      <c r="B11" s="121">
        <v>6</v>
      </c>
      <c r="C11" s="115" t="s">
        <v>367</v>
      </c>
      <c r="D11" s="116" t="s">
        <v>368</v>
      </c>
      <c r="E11" s="120" t="s">
        <v>153</v>
      </c>
      <c r="F11" s="120" t="s">
        <v>153</v>
      </c>
      <c r="G11" s="121" t="s">
        <v>153</v>
      </c>
      <c r="H11" s="118" t="s">
        <v>369</v>
      </c>
      <c r="I11" s="119" t="s">
        <v>354</v>
      </c>
    </row>
    <row r="12" spans="1:10" ht="60" customHeight="1" x14ac:dyDescent="0.35">
      <c r="B12" s="121">
        <v>7</v>
      </c>
      <c r="C12" s="115" t="s">
        <v>370</v>
      </c>
      <c r="D12" s="116" t="s">
        <v>371</v>
      </c>
      <c r="E12" s="122" t="s">
        <v>49</v>
      </c>
      <c r="F12" s="117" t="s">
        <v>155</v>
      </c>
      <c r="G12" s="121" t="s">
        <v>153</v>
      </c>
      <c r="H12" s="118" t="s">
        <v>372</v>
      </c>
      <c r="I12" s="119" t="s">
        <v>354</v>
      </c>
    </row>
    <row r="13" spans="1:10" ht="60" customHeight="1" x14ac:dyDescent="0.35">
      <c r="B13" s="121">
        <v>8</v>
      </c>
      <c r="C13" s="115" t="s">
        <v>373</v>
      </c>
      <c r="D13" s="116" t="s">
        <v>374</v>
      </c>
      <c r="E13" s="120" t="s">
        <v>153</v>
      </c>
      <c r="F13" s="120" t="s">
        <v>153</v>
      </c>
      <c r="G13" s="121" t="s">
        <v>153</v>
      </c>
      <c r="H13" s="118" t="s">
        <v>375</v>
      </c>
      <c r="I13" s="119" t="s">
        <v>354</v>
      </c>
    </row>
    <row r="14" spans="1:10" ht="60" customHeight="1" x14ac:dyDescent="0.35">
      <c r="B14" s="121">
        <v>9</v>
      </c>
      <c r="C14" s="115" t="s">
        <v>376</v>
      </c>
      <c r="D14" s="116" t="s">
        <v>377</v>
      </c>
      <c r="E14" s="122" t="s">
        <v>49</v>
      </c>
      <c r="F14" s="117" t="s">
        <v>155</v>
      </c>
      <c r="G14" s="121" t="s">
        <v>153</v>
      </c>
      <c r="H14" s="118" t="s">
        <v>378</v>
      </c>
      <c r="I14" s="119" t="s">
        <v>354</v>
      </c>
    </row>
    <row r="15" spans="1:10" ht="60" customHeight="1" x14ac:dyDescent="0.35">
      <c r="B15" s="119">
        <v>10</v>
      </c>
      <c r="C15" s="115" t="s">
        <v>379</v>
      </c>
      <c r="D15" s="116" t="s">
        <v>380</v>
      </c>
      <c r="E15" s="119" t="s">
        <v>49</v>
      </c>
      <c r="F15" s="120" t="s">
        <v>153</v>
      </c>
      <c r="G15" s="119" t="s">
        <v>49</v>
      </c>
      <c r="H15" s="118" t="s">
        <v>381</v>
      </c>
      <c r="I15" s="119" t="s">
        <v>354</v>
      </c>
    </row>
    <row r="17" spans="2:9" ht="60" customHeight="1" x14ac:dyDescent="0.35">
      <c r="B17" s="207">
        <v>11</v>
      </c>
      <c r="C17" s="207"/>
      <c r="D17" s="207"/>
      <c r="E17" s="207"/>
      <c r="F17" s="207"/>
      <c r="G17" s="207"/>
      <c r="H17" s="207"/>
      <c r="I17" s="207"/>
    </row>
    <row r="18" spans="2:9" ht="60" customHeight="1" x14ac:dyDescent="0.35">
      <c r="B18" s="100">
        <v>12</v>
      </c>
      <c r="C18" s="123" t="s">
        <v>382</v>
      </c>
      <c r="D18" s="116" t="s">
        <v>383</v>
      </c>
      <c r="E18" s="124" t="s">
        <v>153</v>
      </c>
      <c r="F18" s="125" t="s">
        <v>155</v>
      </c>
      <c r="G18" s="100" t="s">
        <v>155</v>
      </c>
      <c r="H18" s="126" t="s">
        <v>384</v>
      </c>
      <c r="I18" s="127" t="s">
        <v>354</v>
      </c>
    </row>
    <row r="19" spans="2:9" ht="60" customHeight="1" x14ac:dyDescent="0.35">
      <c r="B19" s="128">
        <v>13</v>
      </c>
      <c r="C19" s="123" t="s">
        <v>385</v>
      </c>
      <c r="D19" s="116" t="s">
        <v>386</v>
      </c>
      <c r="E19" s="124" t="s">
        <v>153</v>
      </c>
      <c r="F19" s="124" t="s">
        <v>153</v>
      </c>
      <c r="G19" s="128" t="s">
        <v>153</v>
      </c>
      <c r="H19" s="126" t="s">
        <v>387</v>
      </c>
      <c r="I19" s="127" t="s">
        <v>354</v>
      </c>
    </row>
    <row r="20" spans="2:9" ht="15" customHeight="1" x14ac:dyDescent="0.35">
      <c r="B20" s="129" t="s">
        <v>388</v>
      </c>
    </row>
  </sheetData>
  <mergeCells count="3">
    <mergeCell ref="A1:J2"/>
    <mergeCell ref="B4:I4"/>
    <mergeCell ref="B17:I17"/>
  </mergeCells>
  <dataValidations count="1">
    <dataValidation type="list" sqref="I6:I15" xr:uid="{00000000-0002-0000-0300-000000000000}">
      <formula1>"Open,In Progress,Mitigated,Closed,Accepted"</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75623"/>
  </sheetPr>
  <dimension ref="A1:F30"/>
  <sheetViews>
    <sheetView showGridLines="0" topLeftCell="A5" zoomScaleNormal="100" workbookViewId="0">
      <selection activeCell="E7" sqref="E7"/>
    </sheetView>
  </sheetViews>
  <sheetFormatPr defaultColWidth="8.6328125" defaultRowHeight="14.5" x14ac:dyDescent="0.35"/>
  <cols>
    <col min="1" max="1" width="3" customWidth="1"/>
    <col min="2" max="2" width="5" customWidth="1"/>
    <col min="3" max="3" width="32" customWidth="1"/>
    <col min="4" max="4" width="40" customWidth="1"/>
    <col min="5" max="6" width="22" customWidth="1"/>
    <col min="7" max="7" width="5" customWidth="1"/>
  </cols>
  <sheetData>
    <row r="1" spans="1:6" ht="33.75" customHeight="1" x14ac:dyDescent="0.35">
      <c r="A1" s="208" t="s">
        <v>389</v>
      </c>
      <c r="B1" s="208"/>
      <c r="C1" s="208"/>
      <c r="D1" s="208"/>
      <c r="E1" s="208"/>
      <c r="F1" s="208"/>
    </row>
    <row r="2" spans="1:6" ht="15" customHeight="1" x14ac:dyDescent="0.35">
      <c r="A2" s="208"/>
      <c r="B2" s="208"/>
      <c r="C2" s="208"/>
      <c r="D2" s="208"/>
      <c r="E2" s="208"/>
      <c r="F2" s="208"/>
    </row>
    <row r="4" spans="1:6" ht="21.75" customHeight="1" x14ac:dyDescent="0.35">
      <c r="B4" s="204" t="s">
        <v>390</v>
      </c>
      <c r="C4" s="204"/>
      <c r="D4" s="204"/>
      <c r="E4" s="204"/>
      <c r="F4" s="204"/>
    </row>
    <row r="5" spans="1:6" ht="21.75" customHeight="1" x14ac:dyDescent="0.35">
      <c r="B5" s="27" t="s">
        <v>391</v>
      </c>
      <c r="C5" s="27" t="s">
        <v>392</v>
      </c>
      <c r="D5" s="27" t="s">
        <v>393</v>
      </c>
      <c r="E5" s="27" t="s">
        <v>394</v>
      </c>
    </row>
    <row r="6" spans="1:6" ht="80" customHeight="1" x14ac:dyDescent="0.35">
      <c r="B6" s="130" t="s">
        <v>395</v>
      </c>
      <c r="C6" s="131" t="s">
        <v>396</v>
      </c>
      <c r="D6" s="132" t="s">
        <v>397</v>
      </c>
      <c r="E6" s="131" t="s">
        <v>352</v>
      </c>
    </row>
    <row r="7" spans="1:6" ht="78" customHeight="1" x14ac:dyDescent="0.35">
      <c r="B7" s="133" t="s">
        <v>398</v>
      </c>
      <c r="C7" s="134" t="s">
        <v>399</v>
      </c>
      <c r="D7" s="135" t="s">
        <v>400</v>
      </c>
      <c r="E7" s="134" t="s">
        <v>352</v>
      </c>
    </row>
    <row r="8" spans="1:6" ht="55.5" customHeight="1" x14ac:dyDescent="0.35">
      <c r="B8" s="130" t="s">
        <v>401</v>
      </c>
      <c r="C8" s="131" t="s">
        <v>402</v>
      </c>
      <c r="D8" s="132" t="s">
        <v>403</v>
      </c>
      <c r="E8" s="131" t="s">
        <v>155</v>
      </c>
    </row>
    <row r="9" spans="1:6" ht="55.5" customHeight="1" x14ac:dyDescent="0.35">
      <c r="B9" s="133" t="s">
        <v>404</v>
      </c>
      <c r="C9" s="134" t="s">
        <v>405</v>
      </c>
      <c r="D9" s="135" t="s">
        <v>406</v>
      </c>
      <c r="E9" s="134" t="s">
        <v>352</v>
      </c>
    </row>
    <row r="11" spans="1:6" ht="21.75" customHeight="1" x14ac:dyDescent="0.35">
      <c r="B11" s="209" t="s">
        <v>407</v>
      </c>
      <c r="C11" s="209"/>
      <c r="D11" s="209"/>
      <c r="E11" s="209"/>
      <c r="F11" s="209"/>
    </row>
    <row r="12" spans="1:6" ht="21.75" customHeight="1" x14ac:dyDescent="0.35">
      <c r="B12" s="136" t="s">
        <v>391</v>
      </c>
      <c r="C12" s="136" t="s">
        <v>392</v>
      </c>
      <c r="D12" s="136" t="s">
        <v>393</v>
      </c>
      <c r="E12" s="136" t="s">
        <v>394</v>
      </c>
    </row>
    <row r="13" spans="1:6" ht="55.5" customHeight="1" x14ac:dyDescent="0.35">
      <c r="B13" s="137" t="s">
        <v>408</v>
      </c>
      <c r="C13" s="131" t="s">
        <v>409</v>
      </c>
      <c r="D13" s="132" t="s">
        <v>410</v>
      </c>
      <c r="E13" s="131" t="s">
        <v>155</v>
      </c>
    </row>
    <row r="14" spans="1:6" ht="55.5" customHeight="1" x14ac:dyDescent="0.35">
      <c r="B14" s="138" t="s">
        <v>411</v>
      </c>
      <c r="C14" s="134" t="s">
        <v>412</v>
      </c>
      <c r="D14" s="135" t="s">
        <v>413</v>
      </c>
      <c r="E14" s="134" t="s">
        <v>153</v>
      </c>
    </row>
    <row r="15" spans="1:6" ht="55.5" customHeight="1" x14ac:dyDescent="0.35">
      <c r="B15" s="137" t="s">
        <v>414</v>
      </c>
      <c r="C15" s="131" t="s">
        <v>415</v>
      </c>
      <c r="D15" s="132" t="s">
        <v>416</v>
      </c>
      <c r="E15" s="131" t="s">
        <v>153</v>
      </c>
    </row>
    <row r="16" spans="1:6" ht="55.5" customHeight="1" x14ac:dyDescent="0.35">
      <c r="B16" s="138" t="s">
        <v>417</v>
      </c>
      <c r="C16" s="134" t="s">
        <v>418</v>
      </c>
      <c r="D16" s="135" t="s">
        <v>419</v>
      </c>
      <c r="E16" s="134" t="s">
        <v>155</v>
      </c>
    </row>
    <row r="18" spans="2:6" ht="21.75" customHeight="1" x14ac:dyDescent="0.35">
      <c r="B18" s="210" t="s">
        <v>420</v>
      </c>
      <c r="C18" s="210"/>
      <c r="D18" s="210"/>
      <c r="E18" s="210"/>
      <c r="F18" s="210"/>
    </row>
    <row r="19" spans="2:6" ht="21.75" customHeight="1" x14ac:dyDescent="0.35">
      <c r="B19" s="139" t="s">
        <v>391</v>
      </c>
      <c r="C19" s="139" t="s">
        <v>392</v>
      </c>
      <c r="D19" s="139" t="s">
        <v>393</v>
      </c>
      <c r="E19" s="139" t="s">
        <v>394</v>
      </c>
    </row>
    <row r="20" spans="2:6" ht="55.5" customHeight="1" x14ac:dyDescent="0.35">
      <c r="B20" s="140" t="s">
        <v>421</v>
      </c>
      <c r="C20" s="131" t="s">
        <v>422</v>
      </c>
      <c r="D20" s="132" t="s">
        <v>423</v>
      </c>
      <c r="E20" s="131" t="s">
        <v>352</v>
      </c>
    </row>
    <row r="21" spans="2:6" ht="55.5" customHeight="1" x14ac:dyDescent="0.35">
      <c r="B21" s="141" t="s">
        <v>424</v>
      </c>
      <c r="C21" s="134" t="s">
        <v>425</v>
      </c>
      <c r="D21" s="135" t="s">
        <v>426</v>
      </c>
      <c r="E21" s="134" t="s">
        <v>155</v>
      </c>
    </row>
    <row r="22" spans="2:6" ht="55.5" customHeight="1" x14ac:dyDescent="0.35">
      <c r="B22" s="140" t="s">
        <v>427</v>
      </c>
      <c r="C22" s="131" t="s">
        <v>428</v>
      </c>
      <c r="D22" s="132" t="s">
        <v>429</v>
      </c>
      <c r="E22" s="131" t="s">
        <v>352</v>
      </c>
    </row>
    <row r="23" spans="2:6" ht="55.5" customHeight="1" x14ac:dyDescent="0.35">
      <c r="B23" s="141" t="s">
        <v>430</v>
      </c>
      <c r="C23" s="134" t="s">
        <v>431</v>
      </c>
      <c r="D23" s="135" t="s">
        <v>432</v>
      </c>
      <c r="E23" s="134" t="s">
        <v>155</v>
      </c>
    </row>
    <row r="25" spans="2:6" ht="21.75" customHeight="1" x14ac:dyDescent="0.35">
      <c r="B25" s="211" t="s">
        <v>433</v>
      </c>
      <c r="C25" s="211"/>
      <c r="D25" s="211"/>
      <c r="E25" s="211"/>
      <c r="F25" s="211"/>
    </row>
    <row r="26" spans="2:6" ht="21.75" customHeight="1" x14ac:dyDescent="0.35">
      <c r="B26" s="113" t="s">
        <v>391</v>
      </c>
      <c r="C26" s="113" t="s">
        <v>392</v>
      </c>
      <c r="D26" s="113" t="s">
        <v>393</v>
      </c>
      <c r="E26" s="113" t="s">
        <v>394</v>
      </c>
    </row>
    <row r="27" spans="2:6" ht="55.5" customHeight="1" x14ac:dyDescent="0.35">
      <c r="B27" s="142" t="s">
        <v>434</v>
      </c>
      <c r="C27" s="131" t="s">
        <v>435</v>
      </c>
      <c r="D27" s="132" t="s">
        <v>436</v>
      </c>
      <c r="E27" s="131" t="s">
        <v>437</v>
      </c>
    </row>
    <row r="28" spans="2:6" ht="55.5" customHeight="1" x14ac:dyDescent="0.35">
      <c r="B28" s="143" t="s">
        <v>438</v>
      </c>
      <c r="C28" s="134" t="s">
        <v>439</v>
      </c>
      <c r="D28" s="135" t="s">
        <v>440</v>
      </c>
      <c r="E28" s="134" t="s">
        <v>437</v>
      </c>
    </row>
    <row r="29" spans="2:6" ht="55.5" customHeight="1" x14ac:dyDescent="0.35">
      <c r="B29" s="142" t="s">
        <v>441</v>
      </c>
      <c r="C29" s="131" t="s">
        <v>442</v>
      </c>
      <c r="D29" s="132" t="s">
        <v>443</v>
      </c>
      <c r="E29" s="131" t="s">
        <v>437</v>
      </c>
    </row>
    <row r="30" spans="2:6" ht="55.5" customHeight="1" x14ac:dyDescent="0.35">
      <c r="B30" s="143" t="s">
        <v>444</v>
      </c>
      <c r="C30" s="134" t="s">
        <v>445</v>
      </c>
      <c r="D30" s="135" t="s">
        <v>446</v>
      </c>
      <c r="E30" s="134" t="s">
        <v>437</v>
      </c>
    </row>
  </sheetData>
  <mergeCells count="5">
    <mergeCell ref="A1:F2"/>
    <mergeCell ref="B4:F4"/>
    <mergeCell ref="B11:F11"/>
    <mergeCell ref="B18:F18"/>
    <mergeCell ref="B25:F2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88888"/>
  </sheetPr>
  <dimension ref="A1:C41"/>
  <sheetViews>
    <sheetView showGridLines="0" topLeftCell="A26" zoomScaleNormal="100" workbookViewId="0">
      <selection sqref="A1:C2"/>
    </sheetView>
  </sheetViews>
  <sheetFormatPr defaultColWidth="8.6328125" defaultRowHeight="14.5" x14ac:dyDescent="0.35"/>
  <cols>
    <col min="1" max="1" width="3" customWidth="1"/>
    <col min="2" max="2" width="35" customWidth="1"/>
    <col min="3" max="3" width="50" customWidth="1"/>
    <col min="4" max="4" width="5" customWidth="1"/>
  </cols>
  <sheetData>
    <row r="1" spans="1:3" ht="33.75" customHeight="1" x14ac:dyDescent="0.35">
      <c r="A1" s="208" t="s">
        <v>447</v>
      </c>
      <c r="B1" s="208"/>
      <c r="C1" s="208"/>
    </row>
    <row r="2" spans="1:3" ht="15" customHeight="1" x14ac:dyDescent="0.35">
      <c r="A2" s="208"/>
      <c r="B2" s="208"/>
      <c r="C2" s="208"/>
    </row>
    <row r="4" spans="1:3" ht="21.75" customHeight="1" x14ac:dyDescent="0.35">
      <c r="B4" s="144" t="s">
        <v>448</v>
      </c>
      <c r="C4" s="16"/>
    </row>
    <row r="5" spans="1:3" ht="18" customHeight="1" x14ac:dyDescent="0.35">
      <c r="B5" s="16"/>
      <c r="C5" s="145" t="s">
        <v>449</v>
      </c>
    </row>
    <row r="6" spans="1:3" ht="18" customHeight="1" x14ac:dyDescent="0.35">
      <c r="B6" s="16"/>
      <c r="C6" s="145" t="s">
        <v>450</v>
      </c>
    </row>
    <row r="7" spans="1:3" ht="18" customHeight="1" x14ac:dyDescent="0.35">
      <c r="B7" s="16"/>
      <c r="C7" s="145" t="s">
        <v>451</v>
      </c>
    </row>
    <row r="8" spans="1:3" ht="18" customHeight="1" x14ac:dyDescent="0.35">
      <c r="B8" s="16"/>
      <c r="C8" s="145" t="s">
        <v>452</v>
      </c>
    </row>
    <row r="9" spans="1:3" ht="18" customHeight="1" x14ac:dyDescent="0.35">
      <c r="B9" s="16"/>
      <c r="C9" s="145" t="s">
        <v>453</v>
      </c>
    </row>
    <row r="11" spans="1:3" ht="21.75" customHeight="1" x14ac:dyDescent="0.35">
      <c r="B11" s="144" t="s">
        <v>454</v>
      </c>
      <c r="C11" s="16"/>
    </row>
    <row r="12" spans="1:3" ht="18" customHeight="1" x14ac:dyDescent="0.35">
      <c r="B12" s="16"/>
      <c r="C12" s="145" t="s">
        <v>455</v>
      </c>
    </row>
    <row r="13" spans="1:3" ht="18" customHeight="1" x14ac:dyDescent="0.35">
      <c r="B13" s="16"/>
      <c r="C13" s="145" t="s">
        <v>456</v>
      </c>
    </row>
    <row r="14" spans="1:3" ht="18" customHeight="1" x14ac:dyDescent="0.35">
      <c r="B14" s="16"/>
      <c r="C14" s="145" t="s">
        <v>457</v>
      </c>
    </row>
    <row r="15" spans="1:3" ht="18" customHeight="1" x14ac:dyDescent="0.35">
      <c r="B15" s="16"/>
      <c r="C15" s="145" t="s">
        <v>458</v>
      </c>
    </row>
    <row r="16" spans="1:3" ht="18" customHeight="1" x14ac:dyDescent="0.35">
      <c r="B16" s="16"/>
      <c r="C16" s="145" t="s">
        <v>459</v>
      </c>
    </row>
    <row r="17" spans="2:3" ht="18" customHeight="1" x14ac:dyDescent="0.35">
      <c r="B17" s="16"/>
      <c r="C17" s="145" t="s">
        <v>460</v>
      </c>
    </row>
    <row r="19" spans="2:3" ht="21.75" customHeight="1" x14ac:dyDescent="0.35">
      <c r="B19" s="144" t="s">
        <v>461</v>
      </c>
      <c r="C19" s="16"/>
    </row>
    <row r="20" spans="2:3" ht="18" customHeight="1" x14ac:dyDescent="0.35">
      <c r="B20" s="16"/>
      <c r="C20" s="145" t="s">
        <v>462</v>
      </c>
    </row>
    <row r="21" spans="2:3" ht="39" customHeight="1" x14ac:dyDescent="0.35">
      <c r="B21" s="16"/>
      <c r="C21" s="145" t="s">
        <v>463</v>
      </c>
    </row>
    <row r="22" spans="2:3" ht="45" customHeight="1" x14ac:dyDescent="0.35">
      <c r="B22" s="16"/>
      <c r="C22" s="145" t="s">
        <v>464</v>
      </c>
    </row>
    <row r="24" spans="2:3" ht="21.75" customHeight="1" x14ac:dyDescent="0.35">
      <c r="B24" s="144" t="s">
        <v>465</v>
      </c>
      <c r="C24" s="16"/>
    </row>
    <row r="25" spans="2:3" ht="38.5" customHeight="1" x14ac:dyDescent="0.35">
      <c r="B25" s="16"/>
      <c r="C25" s="145" t="s">
        <v>466</v>
      </c>
    </row>
    <row r="26" spans="2:3" ht="35" customHeight="1" x14ac:dyDescent="0.35">
      <c r="B26" s="16"/>
      <c r="C26" s="145" t="s">
        <v>467</v>
      </c>
    </row>
    <row r="28" spans="2:3" ht="21.75" customHeight="1" x14ac:dyDescent="0.35">
      <c r="B28" s="144" t="s">
        <v>468</v>
      </c>
      <c r="C28" s="16"/>
    </row>
    <row r="29" spans="2:3" ht="18" customHeight="1" x14ac:dyDescent="0.35">
      <c r="B29" s="16"/>
      <c r="C29" s="145" t="s">
        <v>469</v>
      </c>
    </row>
    <row r="30" spans="2:3" ht="18" customHeight="1" x14ac:dyDescent="0.35">
      <c r="B30" s="16"/>
      <c r="C30" s="145" t="s">
        <v>470</v>
      </c>
    </row>
    <row r="31" spans="2:3" ht="18" customHeight="1" x14ac:dyDescent="0.35">
      <c r="B31" s="16"/>
      <c r="C31" s="145" t="s">
        <v>471</v>
      </c>
    </row>
    <row r="33" spans="2:3" ht="21.75" customHeight="1" x14ac:dyDescent="0.35">
      <c r="B33" s="144" t="s">
        <v>472</v>
      </c>
      <c r="C33" s="16"/>
    </row>
    <row r="34" spans="2:3" ht="18" customHeight="1" x14ac:dyDescent="0.35">
      <c r="B34" s="16"/>
      <c r="C34" s="145" t="s">
        <v>473</v>
      </c>
    </row>
    <row r="35" spans="2:3" ht="18" customHeight="1" x14ac:dyDescent="0.35">
      <c r="B35" s="16"/>
      <c r="C35" s="145" t="s">
        <v>474</v>
      </c>
    </row>
    <row r="36" spans="2:3" ht="18" customHeight="1" x14ac:dyDescent="0.35">
      <c r="B36" s="16"/>
      <c r="C36" s="145" t="s">
        <v>475</v>
      </c>
    </row>
    <row r="38" spans="2:3" ht="21.75" customHeight="1" x14ac:dyDescent="0.35">
      <c r="B38" s="144" t="s">
        <v>476</v>
      </c>
      <c r="C38" s="16"/>
    </row>
    <row r="39" spans="2:3" ht="18" customHeight="1" x14ac:dyDescent="0.35">
      <c r="B39" s="16"/>
      <c r="C39" s="145" t="s">
        <v>477</v>
      </c>
    </row>
    <row r="40" spans="2:3" ht="18" customHeight="1" x14ac:dyDescent="0.35">
      <c r="B40" s="16"/>
      <c r="C40" s="145" t="s">
        <v>478</v>
      </c>
    </row>
    <row r="41" spans="2:3" ht="18" customHeight="1" x14ac:dyDescent="0.35">
      <c r="B41" s="16"/>
      <c r="C41" s="145" t="s">
        <v>479</v>
      </c>
    </row>
  </sheetData>
  <mergeCells count="1">
    <mergeCell ref="A1:C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9900"/>
  </sheetPr>
  <dimension ref="A1:G15"/>
  <sheetViews>
    <sheetView showGridLines="0" topLeftCell="A2" zoomScale="90" zoomScaleNormal="90" workbookViewId="0">
      <selection sqref="A1:F2"/>
    </sheetView>
  </sheetViews>
  <sheetFormatPr defaultColWidth="8.6328125" defaultRowHeight="14.5" x14ac:dyDescent="0.35"/>
  <cols>
    <col min="1" max="1" width="3" customWidth="1"/>
    <col min="2" max="2" width="28" customWidth="1"/>
    <col min="3" max="4" width="18" customWidth="1"/>
    <col min="5" max="6" width="34" customWidth="1"/>
    <col min="7" max="7" width="21.7265625" customWidth="1"/>
  </cols>
  <sheetData>
    <row r="1" spans="1:7" ht="33.75" customHeight="1" x14ac:dyDescent="0.35">
      <c r="A1" s="212" t="s">
        <v>480</v>
      </c>
      <c r="B1" s="212"/>
      <c r="C1" s="212"/>
      <c r="D1" s="212"/>
      <c r="E1" s="212"/>
      <c r="F1" s="212"/>
    </row>
    <row r="2" spans="1:7" ht="15" customHeight="1" x14ac:dyDescent="0.35">
      <c r="A2" s="212"/>
      <c r="B2" s="212"/>
      <c r="C2" s="212"/>
      <c r="D2" s="212"/>
      <c r="E2" s="212"/>
      <c r="F2" s="212"/>
    </row>
    <row r="3" spans="1:7" ht="27.75" customHeight="1" x14ac:dyDescent="0.35">
      <c r="B3" s="213" t="s">
        <v>481</v>
      </c>
      <c r="C3" s="213"/>
      <c r="D3" s="213"/>
      <c r="E3" s="213"/>
      <c r="F3" s="213"/>
    </row>
    <row r="4" spans="1:7" ht="21.75" customHeight="1" x14ac:dyDescent="0.35">
      <c r="B4" s="146" t="s">
        <v>482</v>
      </c>
      <c r="C4" s="146" t="s">
        <v>483</v>
      </c>
      <c r="D4" s="146" t="s">
        <v>484</v>
      </c>
      <c r="E4" s="146" t="s">
        <v>485</v>
      </c>
      <c r="F4" s="146" t="s">
        <v>486</v>
      </c>
      <c r="G4" s="146" t="s">
        <v>487</v>
      </c>
    </row>
    <row r="5" spans="1:7" ht="69.75" customHeight="1" x14ac:dyDescent="0.35">
      <c r="B5" s="115" t="s">
        <v>67</v>
      </c>
      <c r="C5" s="147" t="s">
        <v>488</v>
      </c>
      <c r="D5" s="148" t="s">
        <v>488</v>
      </c>
      <c r="E5" s="149" t="s">
        <v>489</v>
      </c>
      <c r="F5" s="150" t="s">
        <v>490</v>
      </c>
      <c r="G5" s="151" t="s">
        <v>491</v>
      </c>
    </row>
    <row r="6" spans="1:7" ht="69.75" customHeight="1" x14ac:dyDescent="0.35">
      <c r="B6" s="152" t="s">
        <v>69</v>
      </c>
      <c r="C6" s="153" t="s">
        <v>492</v>
      </c>
      <c r="D6" s="154" t="s">
        <v>493</v>
      </c>
      <c r="E6" s="155" t="s">
        <v>494</v>
      </c>
      <c r="F6" s="156" t="s">
        <v>495</v>
      </c>
      <c r="G6" s="157" t="s">
        <v>496</v>
      </c>
    </row>
    <row r="7" spans="1:7" ht="69.75" customHeight="1" x14ac:dyDescent="0.35">
      <c r="B7" s="115" t="s">
        <v>319</v>
      </c>
      <c r="C7" s="147" t="s">
        <v>497</v>
      </c>
      <c r="D7" s="148" t="s">
        <v>498</v>
      </c>
      <c r="E7" s="155" t="s">
        <v>499</v>
      </c>
      <c r="F7" s="150" t="s">
        <v>500</v>
      </c>
      <c r="G7" s="151" t="s">
        <v>501</v>
      </c>
    </row>
    <row r="8" spans="1:7" ht="69.75" customHeight="1" x14ac:dyDescent="0.35">
      <c r="B8" s="152" t="s">
        <v>325</v>
      </c>
      <c r="C8" s="153" t="s">
        <v>492</v>
      </c>
      <c r="D8" s="154" t="s">
        <v>493</v>
      </c>
      <c r="E8" s="155" t="s">
        <v>494</v>
      </c>
      <c r="F8" s="156" t="s">
        <v>502</v>
      </c>
      <c r="G8" s="157" t="s">
        <v>503</v>
      </c>
    </row>
    <row r="9" spans="1:7" ht="69.75" customHeight="1" x14ac:dyDescent="0.35">
      <c r="B9" s="115" t="s">
        <v>504</v>
      </c>
      <c r="C9" s="147" t="s">
        <v>505</v>
      </c>
      <c r="D9" s="148" t="s">
        <v>506</v>
      </c>
      <c r="E9" s="155" t="s">
        <v>507</v>
      </c>
      <c r="F9" s="150" t="s">
        <v>508</v>
      </c>
      <c r="G9" s="151" t="s">
        <v>509</v>
      </c>
    </row>
    <row r="10" spans="1:7" ht="69.75" customHeight="1" x14ac:dyDescent="0.35">
      <c r="B10" s="152" t="s">
        <v>510</v>
      </c>
      <c r="C10" s="153" t="s">
        <v>511</v>
      </c>
      <c r="D10" s="154" t="s">
        <v>488</v>
      </c>
      <c r="E10" s="155" t="s">
        <v>512</v>
      </c>
      <c r="F10" s="156" t="s">
        <v>513</v>
      </c>
      <c r="G10" s="157" t="s">
        <v>514</v>
      </c>
    </row>
    <row r="11" spans="1:7" ht="69.75" customHeight="1" x14ac:dyDescent="0.35">
      <c r="B11" s="115" t="s">
        <v>78</v>
      </c>
      <c r="C11" s="147" t="s">
        <v>515</v>
      </c>
      <c r="D11" s="148" t="s">
        <v>515</v>
      </c>
      <c r="E11" s="149" t="s">
        <v>489</v>
      </c>
      <c r="F11" s="150" t="s">
        <v>516</v>
      </c>
      <c r="G11" s="151" t="s">
        <v>517</v>
      </c>
    </row>
    <row r="12" spans="1:7" ht="69.75" customHeight="1" x14ac:dyDescent="0.35">
      <c r="B12" s="152" t="s">
        <v>518</v>
      </c>
      <c r="C12" s="153" t="s">
        <v>519</v>
      </c>
      <c r="D12" s="154" t="s">
        <v>520</v>
      </c>
      <c r="E12" s="149" t="s">
        <v>521</v>
      </c>
      <c r="F12" s="156" t="s">
        <v>522</v>
      </c>
      <c r="G12" s="157" t="s">
        <v>523</v>
      </c>
    </row>
    <row r="13" spans="1:7" ht="69.75" customHeight="1" x14ac:dyDescent="0.35">
      <c r="B13" s="115" t="s">
        <v>524</v>
      </c>
      <c r="C13" s="147" t="s">
        <v>525</v>
      </c>
      <c r="D13" s="148" t="s">
        <v>526</v>
      </c>
      <c r="E13" s="155" t="s">
        <v>527</v>
      </c>
      <c r="F13" s="150" t="s">
        <v>528</v>
      </c>
      <c r="G13" s="151" t="s">
        <v>529</v>
      </c>
    </row>
    <row r="15" spans="1:7" ht="43.5" customHeight="1" x14ac:dyDescent="0.35">
      <c r="B15" s="214" t="s">
        <v>530</v>
      </c>
      <c r="C15" s="214"/>
      <c r="D15" s="214"/>
      <c r="E15" s="214"/>
      <c r="F15" s="214"/>
    </row>
  </sheetData>
  <mergeCells count="3">
    <mergeCell ref="A1:F2"/>
    <mergeCell ref="B3:F3"/>
    <mergeCell ref="B15:F1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9900"/>
  </sheetPr>
  <dimension ref="A1:F17"/>
  <sheetViews>
    <sheetView showGridLines="0" topLeftCell="A9" zoomScaleNormal="100" workbookViewId="0">
      <selection sqref="A1:F2"/>
    </sheetView>
  </sheetViews>
  <sheetFormatPr defaultColWidth="8.6328125" defaultRowHeight="14.5" x14ac:dyDescent="0.35"/>
  <cols>
    <col min="1" max="1" width="3" customWidth="1"/>
    <col min="2" max="2" width="30" customWidth="1"/>
    <col min="3" max="4" width="16" customWidth="1"/>
    <col min="5" max="5" width="12" customWidth="1"/>
    <col min="6" max="6" width="36" customWidth="1"/>
    <col min="7" max="7" width="5" customWidth="1"/>
  </cols>
  <sheetData>
    <row r="1" spans="1:6" ht="33.75" customHeight="1" x14ac:dyDescent="0.35">
      <c r="A1" s="212" t="s">
        <v>531</v>
      </c>
      <c r="B1" s="212"/>
      <c r="C1" s="212"/>
      <c r="D1" s="212"/>
      <c r="E1" s="212"/>
      <c r="F1" s="212"/>
    </row>
    <row r="2" spans="1:6" ht="15" customHeight="1" x14ac:dyDescent="0.35">
      <c r="A2" s="212"/>
      <c r="B2" s="212"/>
      <c r="C2" s="212"/>
      <c r="D2" s="212"/>
      <c r="E2" s="212"/>
      <c r="F2" s="212"/>
    </row>
    <row r="3" spans="1:6" ht="27.75" customHeight="1" x14ac:dyDescent="0.35">
      <c r="B3" s="213" t="s">
        <v>532</v>
      </c>
      <c r="C3" s="213"/>
      <c r="D3" s="213"/>
      <c r="E3" s="213"/>
      <c r="F3" s="213"/>
    </row>
    <row r="4" spans="1:6" ht="21.75" customHeight="1" x14ac:dyDescent="0.35">
      <c r="B4" s="146" t="s">
        <v>44</v>
      </c>
      <c r="C4" s="146" t="s">
        <v>533</v>
      </c>
      <c r="D4" s="146" t="s">
        <v>534</v>
      </c>
      <c r="E4" s="146" t="s">
        <v>535</v>
      </c>
      <c r="F4" s="146" t="s">
        <v>536</v>
      </c>
    </row>
    <row r="5" spans="1:6" ht="33.75" customHeight="1" x14ac:dyDescent="0.35">
      <c r="B5" s="104" t="s">
        <v>537</v>
      </c>
      <c r="C5" s="158">
        <v>0.35</v>
      </c>
      <c r="D5" s="159">
        <v>0.35</v>
      </c>
      <c r="E5" s="160" t="s">
        <v>538</v>
      </c>
      <c r="F5" s="161" t="s">
        <v>539</v>
      </c>
    </row>
    <row r="6" spans="1:6" ht="33.75" customHeight="1" x14ac:dyDescent="0.35">
      <c r="B6" s="162" t="s">
        <v>69</v>
      </c>
      <c r="C6" s="163">
        <v>0.5</v>
      </c>
      <c r="D6" s="164">
        <v>0.55000000000000004</v>
      </c>
      <c r="E6" s="165" t="s">
        <v>540</v>
      </c>
      <c r="F6" s="166" t="s">
        <v>541</v>
      </c>
    </row>
    <row r="7" spans="1:6" ht="33.75" customHeight="1" x14ac:dyDescent="0.35">
      <c r="B7" s="104" t="s">
        <v>542</v>
      </c>
      <c r="C7" s="158">
        <v>0.75</v>
      </c>
      <c r="D7" s="159">
        <v>0.8</v>
      </c>
      <c r="E7" s="165" t="s">
        <v>543</v>
      </c>
      <c r="F7" s="161" t="s">
        <v>544</v>
      </c>
    </row>
    <row r="8" spans="1:6" ht="33.75" customHeight="1" x14ac:dyDescent="0.35">
      <c r="B8" s="162" t="s">
        <v>545</v>
      </c>
      <c r="C8" s="163">
        <v>2</v>
      </c>
      <c r="D8" s="164">
        <v>2</v>
      </c>
      <c r="E8" s="160" t="s">
        <v>538</v>
      </c>
      <c r="F8" s="166" t="s">
        <v>546</v>
      </c>
    </row>
    <row r="9" spans="1:6" ht="33.75" customHeight="1" x14ac:dyDescent="0.35">
      <c r="B9" s="104" t="s">
        <v>547</v>
      </c>
      <c r="C9" s="158">
        <v>0.5</v>
      </c>
      <c r="D9" s="159">
        <v>0.55000000000000004</v>
      </c>
      <c r="E9" s="165" t="s">
        <v>540</v>
      </c>
      <c r="F9" s="161" t="s">
        <v>548</v>
      </c>
    </row>
    <row r="10" spans="1:6" ht="33.75" customHeight="1" x14ac:dyDescent="0.35">
      <c r="B10" s="162" t="s">
        <v>549</v>
      </c>
      <c r="C10" s="163">
        <v>0.4</v>
      </c>
      <c r="D10" s="164">
        <v>0.45</v>
      </c>
      <c r="E10" s="165" t="s">
        <v>550</v>
      </c>
      <c r="F10" s="166" t="s">
        <v>551</v>
      </c>
    </row>
    <row r="11" spans="1:6" ht="33.75" customHeight="1" x14ac:dyDescent="0.35">
      <c r="B11" s="104" t="s">
        <v>552</v>
      </c>
      <c r="C11" s="158">
        <v>1</v>
      </c>
      <c r="D11" s="159">
        <v>1</v>
      </c>
      <c r="E11" s="160" t="s">
        <v>538</v>
      </c>
      <c r="F11" s="161" t="s">
        <v>553</v>
      </c>
    </row>
    <row r="12" spans="1:6" ht="33.75" customHeight="1" x14ac:dyDescent="0.35">
      <c r="B12" s="162" t="s">
        <v>510</v>
      </c>
      <c r="C12" s="163">
        <v>0.3</v>
      </c>
      <c r="D12" s="164">
        <v>0.35</v>
      </c>
      <c r="E12" s="165" t="s">
        <v>554</v>
      </c>
      <c r="F12" s="166" t="s">
        <v>555</v>
      </c>
    </row>
    <row r="13" spans="1:6" ht="33.75" customHeight="1" x14ac:dyDescent="0.35">
      <c r="B13" s="104" t="s">
        <v>78</v>
      </c>
      <c r="C13" s="158">
        <v>0.2</v>
      </c>
      <c r="D13" s="159">
        <v>0.2</v>
      </c>
      <c r="E13" s="160" t="s">
        <v>538</v>
      </c>
      <c r="F13" s="161" t="s">
        <v>556</v>
      </c>
    </row>
    <row r="14" spans="1:6" ht="33.75" customHeight="1" x14ac:dyDescent="0.35">
      <c r="B14" s="162" t="s">
        <v>557</v>
      </c>
      <c r="C14" s="163">
        <v>0</v>
      </c>
      <c r="D14" s="164">
        <v>-0.15</v>
      </c>
      <c r="E14" s="167" t="s">
        <v>558</v>
      </c>
      <c r="F14" s="166" t="s">
        <v>559</v>
      </c>
    </row>
    <row r="15" spans="1:6" ht="33.75" customHeight="1" x14ac:dyDescent="0.35">
      <c r="B15" s="110" t="s">
        <v>560</v>
      </c>
      <c r="C15" s="111">
        <v>4</v>
      </c>
      <c r="D15" s="111">
        <v>4.25</v>
      </c>
      <c r="E15" s="168" t="s">
        <v>561</v>
      </c>
      <c r="F15" s="112" t="s">
        <v>562</v>
      </c>
    </row>
    <row r="17" spans="2:6" ht="48" customHeight="1" x14ac:dyDescent="0.35">
      <c r="B17" s="215" t="s">
        <v>563</v>
      </c>
      <c r="C17" s="215"/>
      <c r="D17" s="215"/>
      <c r="E17" s="215"/>
      <c r="F17" s="215"/>
    </row>
  </sheetData>
  <mergeCells count="3">
    <mergeCell ref="A1:F2"/>
    <mergeCell ref="B3:F3"/>
    <mergeCell ref="B17:F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 Estimator</vt:lpstr>
      <vt:lpstr>📂 Project Data</vt:lpstr>
      <vt:lpstr>📋 Complexity Guidelines</vt:lpstr>
      <vt:lpstr>⚠️ Risk Register</vt:lpstr>
      <vt:lpstr>📝 Assumptions</vt:lpstr>
      <vt:lpstr>ℹ️ How to Use</vt:lpstr>
      <vt:lpstr>🔬 Benchmark Rationale</vt:lpstr>
      <vt:lpstr>🔀 AWS vs Azure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Sanjukta Ray</cp:lastModifiedBy>
  <cp:revision>0</cp:revision>
  <dcterms:created xsi:type="dcterms:W3CDTF">2026-04-21T17:18:09Z</dcterms:created>
  <dcterms:modified xsi:type="dcterms:W3CDTF">2026-04-22T04:39:54Z</dcterms:modified>
  <dc:language>en-US</dc:language>
</cp:coreProperties>
</file>