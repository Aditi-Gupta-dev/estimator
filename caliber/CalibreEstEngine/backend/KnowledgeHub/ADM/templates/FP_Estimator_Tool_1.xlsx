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🏠 Cover" sheetId="1" state="visible" r:id="rId1"/>
    <sheet xmlns:r="http://schemas.openxmlformats.org/officeDocument/2006/relationships" name="📋 Guidance" sheetId="2" state="visible" r:id="rId2"/>
    <sheet xmlns:r="http://schemas.openxmlformats.org/officeDocument/2006/relationships" name="⚙️ FP Estimator" sheetId="3" state="visible" r:id="rId3"/>
    <sheet xmlns:r="http://schemas.openxmlformats.org/officeDocument/2006/relationships" name="📊 Benchmarks" sheetId="4" state="visible" r:id="rId4"/>
    <sheet xmlns:r="http://schemas.openxmlformats.org/officeDocument/2006/relationships" name="📌 Assumptions" sheetId="5" state="visible" r:id="rId5"/>
    <sheet xmlns:r="http://schemas.openxmlformats.org/officeDocument/2006/relationships" name="⚠️ Challenges" sheetId="6" state="visible" r:id="rId6"/>
    <sheet xmlns:r="http://schemas.openxmlformats.org/officeDocument/2006/relationships" name="✅ Recommend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$#,##0"/>
  </numFmts>
  <fonts count="61">
    <font>
      <name val="Calibri"/>
      <family val="2"/>
      <color theme="1"/>
      <sz val="11"/>
      <scheme val="minor"/>
    </font>
    <font>
      <name val="Arial"/>
      <b val="1"/>
      <color rgb="00FFFFFF"/>
      <sz val="22"/>
    </font>
    <font>
      <name val="Arial"/>
      <color rgb="0093C5FD"/>
      <sz val="11"/>
    </font>
    <font>
      <name val="Arial"/>
      <b val="1"/>
      <color rgb="00FBBF24"/>
      <sz val="12"/>
    </font>
    <font>
      <name val="Arial"/>
      <b val="1"/>
      <color rgb="001B3A6B"/>
      <sz val="11"/>
    </font>
    <font>
      <name val="Arial"/>
      <b val="1"/>
      <color rgb="00FFFFFF"/>
      <sz val="20"/>
    </font>
    <font>
      <name val="Arial"/>
      <b val="1"/>
      <color rgb="002563EB"/>
      <sz val="12"/>
    </font>
    <font>
      <name val="Arial"/>
      <color rgb="00475569"/>
      <sz val="10"/>
    </font>
    <font>
      <name val="Arial"/>
      <b val="1"/>
      <i val="1"/>
      <color rgb="002563EB"/>
      <sz val="9"/>
    </font>
    <font>
      <name val="Arial"/>
      <b val="1"/>
      <color rgb="000F766E"/>
      <sz val="12"/>
    </font>
    <font>
      <name val="Arial"/>
      <b val="1"/>
      <i val="1"/>
      <color rgb="000F766E"/>
      <sz val="9"/>
    </font>
    <font>
      <name val="Arial"/>
      <b val="1"/>
      <color rgb="006D28D9"/>
      <sz val="12"/>
    </font>
    <font>
      <name val="Arial"/>
      <b val="1"/>
      <i val="1"/>
      <color rgb="006D28D9"/>
      <sz val="9"/>
    </font>
    <font>
      <name val="Arial"/>
      <b val="1"/>
      <color rgb="00D97706"/>
      <sz val="12"/>
    </font>
    <font>
      <name val="Arial"/>
      <b val="1"/>
      <i val="1"/>
      <color rgb="00D97706"/>
      <sz val="9"/>
    </font>
    <font>
      <name val="Arial"/>
      <b val="1"/>
      <color rgb="00DC2626"/>
      <sz val="12"/>
    </font>
    <font>
      <name val="Arial"/>
      <b val="1"/>
      <i val="1"/>
      <color rgb="00DC2626"/>
      <sz val="9"/>
    </font>
    <font>
      <name val="Arial"/>
      <b val="1"/>
      <color rgb="0015803D"/>
      <sz val="12"/>
    </font>
    <font>
      <name val="Arial"/>
      <b val="1"/>
      <i val="1"/>
      <color rgb="0015803D"/>
      <sz val="9"/>
    </font>
    <font>
      <name val="Arial"/>
      <b val="1"/>
      <color rgb="00FFFFFF"/>
      <sz val="14"/>
    </font>
    <font>
      <name val="Arial"/>
      <color rgb="001B3A6B"/>
      <sz val="10"/>
    </font>
    <font>
      <name val="Arial"/>
      <b val="1"/>
      <color rgb="00FFFFFF"/>
      <sz val="11"/>
    </font>
    <font>
      <name val="Arial"/>
      <b val="1"/>
      <color rgb="002563EB"/>
      <sz val="10"/>
    </font>
    <font>
      <name val="Arial"/>
      <color rgb="000F172A"/>
      <sz val="9"/>
    </font>
    <font>
      <name val="Arial"/>
      <b val="1"/>
      <color rgb="000F766E"/>
      <sz val="10"/>
    </font>
    <font>
      <name val="Arial"/>
      <b val="1"/>
      <color rgb="006D28D9"/>
      <sz val="10"/>
    </font>
    <font>
      <name val="Arial"/>
      <b val="1"/>
      <color rgb="00D97706"/>
      <sz val="10"/>
    </font>
    <font>
      <name val="Arial"/>
      <b val="1"/>
      <color rgb="001B3A6B"/>
      <sz val="10"/>
    </font>
    <font>
      <name val="Arial"/>
      <b val="1"/>
      <color rgb="00FFFFFF"/>
      <sz val="10"/>
    </font>
    <font>
      <name val="Arial"/>
      <i val="1"/>
      <color rgb="002563EB"/>
      <sz val="10"/>
    </font>
    <font>
      <name val="Arial"/>
      <color rgb="001B3A6B"/>
      <sz val="9"/>
    </font>
    <font>
      <name val="Arial"/>
      <color rgb="00475569"/>
      <sz val="9"/>
    </font>
    <font>
      <name val="Arial"/>
      <b val="1"/>
      <color rgb="002563EB"/>
      <sz val="11"/>
    </font>
    <font>
      <name val="Arial"/>
      <b val="1"/>
      <color rgb="0015803D"/>
      <sz val="10"/>
    </font>
    <font>
      <name val="Arial"/>
      <color rgb="000F172A"/>
      <sz val="10"/>
    </font>
    <font>
      <name val="Arial"/>
      <b val="1"/>
      <color rgb="00FFFFFF"/>
      <sz val="13"/>
    </font>
    <font>
      <name val="Arial"/>
      <color rgb="000F766E"/>
      <sz val="9"/>
    </font>
    <font>
      <name val="Arial"/>
      <b val="1"/>
      <color rgb="000F766E"/>
      <sz val="11"/>
    </font>
    <font>
      <name val="Arial"/>
      <color rgb="006D28D9"/>
      <sz val="9"/>
    </font>
    <font>
      <name val="Arial"/>
      <b val="1"/>
      <color rgb="00FFFFFF"/>
      <sz val="9"/>
    </font>
    <font>
      <name val="Arial"/>
      <b val="1"/>
      <color rgb="006D28D9"/>
      <sz val="11"/>
    </font>
    <font>
      <name val="Arial"/>
      <color rgb="00B45309"/>
      <sz val="9"/>
    </font>
    <font>
      <name val="Arial"/>
      <b val="1"/>
      <color rgb="00B45309"/>
      <sz val="11"/>
    </font>
    <font>
      <name val="Arial"/>
      <i val="1"/>
      <color rgb="00475569"/>
      <sz val="8"/>
    </font>
    <font>
      <name val="Arial"/>
      <b val="1"/>
      <color rgb="00B45309"/>
      <sz val="9"/>
    </font>
    <font>
      <name val="Arial"/>
      <b val="1"/>
      <color rgb="0015803D"/>
      <sz val="11"/>
    </font>
    <font>
      <name val="Arial"/>
      <color rgb="0015803D"/>
      <sz val="9"/>
    </font>
    <font>
      <name val="Arial"/>
      <color rgb="002563EB"/>
      <sz val="9"/>
    </font>
    <font>
      <name val="Arial"/>
      <b val="1"/>
      <color rgb="00B45309"/>
      <sz val="10"/>
    </font>
    <font>
      <name val="Arial"/>
      <b val="1"/>
      <i val="1"/>
      <color rgb="00B45309"/>
      <sz val="9"/>
    </font>
    <font>
      <name val="Arial"/>
      <i val="1"/>
      <color rgb="00475569"/>
      <sz val="9"/>
    </font>
    <font>
      <name val="Arial"/>
      <b val="1"/>
      <color rgb="006D28D9"/>
      <sz val="9"/>
    </font>
    <font>
      <name val="Arial"/>
      <b val="1"/>
      <color rgb="000F766E"/>
      <sz val="9"/>
    </font>
    <font>
      <name val="Arial"/>
      <b val="1"/>
      <color rgb="002563EB"/>
      <sz val="9"/>
    </font>
    <font>
      <name val="Arial"/>
      <color rgb="00B45309"/>
      <sz val="10"/>
    </font>
    <font>
      <name val="Arial"/>
      <b val="1"/>
      <color rgb="00D97706"/>
      <sz val="9"/>
    </font>
    <font>
      <name val="Arial"/>
      <b val="1"/>
      <color rgb="001B3A6B"/>
      <sz val="9"/>
    </font>
    <font>
      <name val="Arial"/>
      <color rgb="00DC2626"/>
      <sz val="10"/>
    </font>
    <font>
      <name val="Arial"/>
      <b val="1"/>
      <color rgb="00DC2626"/>
      <sz val="9"/>
    </font>
    <font>
      <name val="Arial"/>
      <color rgb="0015803D"/>
      <sz val="10"/>
    </font>
    <font>
      <name val="Arial"/>
      <b val="1"/>
      <color rgb="0015803D"/>
      <sz val="9"/>
    </font>
  </fonts>
  <fills count="20">
    <fill>
      <patternFill/>
    </fill>
    <fill>
      <patternFill patternType="gray125"/>
    </fill>
    <fill>
      <patternFill patternType="solid">
        <fgColor rgb="00F8FAFC"/>
      </patternFill>
    </fill>
    <fill>
      <patternFill patternType="solid">
        <fgColor rgb="001B3A6B"/>
      </patternFill>
    </fill>
    <fill>
      <patternFill patternType="solid">
        <fgColor rgb="00DBEAFE"/>
      </patternFill>
    </fill>
    <fill>
      <patternFill patternType="solid">
        <fgColor rgb="002563EB"/>
      </patternFill>
    </fill>
    <fill>
      <patternFill patternType="solid">
        <fgColor rgb="00CCFBF1"/>
      </patternFill>
    </fill>
    <fill>
      <patternFill patternType="solid">
        <fgColor rgb="000F766E"/>
      </patternFill>
    </fill>
    <fill>
      <patternFill patternType="solid">
        <fgColor rgb="00EDE9FE"/>
      </patternFill>
    </fill>
    <fill>
      <patternFill patternType="solid">
        <fgColor rgb="006D28D9"/>
      </patternFill>
    </fill>
    <fill>
      <patternFill patternType="solid">
        <fgColor rgb="00FEF3C7"/>
      </patternFill>
    </fill>
    <fill>
      <patternFill patternType="solid">
        <fgColor rgb="00D97706"/>
      </patternFill>
    </fill>
    <fill>
      <patternFill patternType="solid">
        <fgColor rgb="00FEE2E2"/>
      </patternFill>
    </fill>
    <fill>
      <patternFill patternType="solid">
        <fgColor rgb="00DC2626"/>
      </patternFill>
    </fill>
    <fill>
      <patternFill patternType="solid">
        <fgColor rgb="00DCFCE7"/>
      </patternFill>
    </fill>
    <fill>
      <patternFill patternType="solid">
        <fgColor rgb="0015803D"/>
      </patternFill>
    </fill>
    <fill>
      <patternFill patternType="solid">
        <fgColor rgb="00FFFFFF"/>
      </patternFill>
    </fill>
    <fill>
      <patternFill patternType="solid">
        <fgColor rgb="00EFF6FF"/>
      </patternFill>
    </fill>
    <fill>
      <patternFill patternType="solid">
        <fgColor rgb="00475569"/>
      </patternFill>
    </fill>
    <fill>
      <patternFill patternType="solid">
        <fgColor rgb="00FEF9C3"/>
      </patternFill>
    </fill>
  </fills>
  <borders count="15">
    <border>
      <left/>
      <right/>
      <top/>
      <bottom/>
      <diagonal/>
    </border>
    <border>
      <left style="medium">
        <color rgb="002563EB"/>
      </left>
      <right style="medium">
        <color rgb="002563EB"/>
      </right>
      <top style="medium">
        <color rgb="002563EB"/>
      </top>
      <bottom style="medium">
        <color rgb="002563EB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0F766E"/>
      </left>
      <right style="medium">
        <color rgb="000F766E"/>
      </right>
      <top style="medium">
        <color rgb="000F766E"/>
      </top>
      <bottom style="medium">
        <color rgb="000F766E"/>
      </bottom>
    </border>
    <border>
      <left style="medium">
        <color rgb="006D28D9"/>
      </left>
      <right style="medium">
        <color rgb="006D28D9"/>
      </right>
      <top style="medium">
        <color rgb="006D28D9"/>
      </top>
      <bottom style="medium">
        <color rgb="006D28D9"/>
      </bottom>
    </border>
    <border>
      <left style="medium">
        <color rgb="00D97706"/>
      </left>
      <right style="medium">
        <color rgb="00D97706"/>
      </right>
      <top style="medium">
        <color rgb="00D97706"/>
      </top>
      <bottom style="medium">
        <color rgb="00D97706"/>
      </bottom>
    </border>
    <border>
      <left style="medium">
        <color rgb="001B3A6B"/>
      </left>
      <right style="medium">
        <color rgb="001B3A6B"/>
      </right>
      <top style="medium">
        <color rgb="001B3A6B"/>
      </top>
      <bottom style="medium">
        <color rgb="001B3A6B"/>
      </bottom>
    </border>
    <border>
      <left style="medium">
        <color rgb="00475569"/>
      </left>
      <right style="medium">
        <color rgb="00475569"/>
      </right>
      <top style="medium">
        <color rgb="00475569"/>
      </top>
      <bottom style="medium">
        <color rgb="00475569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medium">
        <color rgb="00B45309"/>
      </left>
      <right style="medium">
        <color rgb="00B45309"/>
      </right>
      <top style="medium">
        <color rgb="00B45309"/>
      </top>
      <bottom style="medium">
        <color rgb="00B45309"/>
      </bottom>
    </border>
    <border>
      <left style="medium">
        <color rgb="0015803D"/>
      </left>
      <right style="medium">
        <color rgb="0015803D"/>
      </right>
      <top style="medium">
        <color rgb="0015803D"/>
      </top>
      <bottom style="medium">
        <color rgb="0015803D"/>
      </bottom>
    </border>
    <border>
      <left style="medium">
        <color rgb="00DC2626"/>
      </left>
      <right style="medium">
        <color rgb="00DC2626"/>
      </right>
      <top style="medium">
        <color rgb="00DC2626"/>
      </top>
      <bottom style="medium">
        <color rgb="00DC2626"/>
      </bottom>
    </border>
  </borders>
  <cellStyleXfs count="1">
    <xf numFmtId="0" fontId="0" fillId="0" borderId="0"/>
  </cellStyleXfs>
  <cellXfs count="186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4" fillId="2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5" fillId="7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left" vertical="center"/>
    </xf>
    <xf numFmtId="0" fontId="7" fillId="6" borderId="0" applyAlignment="1" pivotButton="0" quotePrefix="0" xfId="0">
      <alignment horizontal="left" vertical="center" wrapText="1"/>
    </xf>
    <xf numFmtId="0" fontId="10" fillId="6" borderId="0" applyAlignment="1" pivotButton="0" quotePrefix="0" xfId="0">
      <alignment horizontal="left" vertical="center"/>
    </xf>
    <xf numFmtId="0" fontId="0" fillId="6" borderId="0" pivotButton="0" quotePrefix="0" xfId="0"/>
    <xf numFmtId="0" fontId="5" fillId="9" borderId="0" applyAlignment="1" pivotButton="0" quotePrefix="0" xfId="0">
      <alignment horizontal="center" vertical="center"/>
    </xf>
    <xf numFmtId="0" fontId="11" fillId="8" borderId="0" applyAlignment="1" pivotButton="0" quotePrefix="0" xfId="0">
      <alignment horizontal="left" vertical="center"/>
    </xf>
    <xf numFmtId="0" fontId="7" fillId="8" borderId="0" applyAlignment="1" pivotButton="0" quotePrefix="0" xfId="0">
      <alignment horizontal="left" vertical="center" wrapText="1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5" fillId="11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7" fillId="10" borderId="0" applyAlignment="1" pivotButton="0" quotePrefix="0" xfId="0">
      <alignment horizontal="left" vertical="center" wrapText="1"/>
    </xf>
    <xf numFmtId="0" fontId="14" fillId="10" borderId="0" applyAlignment="1" pivotButton="0" quotePrefix="0" xfId="0">
      <alignment horizontal="left" vertical="center"/>
    </xf>
    <xf numFmtId="0" fontId="0" fillId="10" borderId="0" pivotButton="0" quotePrefix="0" xfId="0"/>
    <xf numFmtId="0" fontId="5" fillId="13" borderId="0" applyAlignment="1" pivotButton="0" quotePrefix="0" xfId="0">
      <alignment horizontal="center" vertical="center"/>
    </xf>
    <xf numFmtId="0" fontId="15" fillId="12" borderId="0" applyAlignment="1" pivotButton="0" quotePrefix="0" xfId="0">
      <alignment horizontal="left" vertical="center"/>
    </xf>
    <xf numFmtId="0" fontId="7" fillId="12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/>
    </xf>
    <xf numFmtId="0" fontId="0" fillId="12" borderId="0" pivotButton="0" quotePrefix="0" xfId="0"/>
    <xf numFmtId="0" fontId="5" fillId="15" borderId="0" applyAlignment="1" pivotButton="0" quotePrefix="0" xfId="0">
      <alignment horizontal="center" vertical="center"/>
    </xf>
    <xf numFmtId="0" fontId="17" fillId="14" borderId="0" applyAlignment="1" pivotButton="0" quotePrefix="0" xfId="0">
      <alignment horizontal="left" vertical="center"/>
    </xf>
    <xf numFmtId="0" fontId="7" fillId="14" borderId="0" applyAlignment="1" pivotButton="0" quotePrefix="0" xfId="0">
      <alignment horizontal="left" vertical="center" wrapText="1"/>
    </xf>
    <xf numFmtId="0" fontId="18" fillId="14" borderId="0" applyAlignment="1" pivotButton="0" quotePrefix="0" xfId="0">
      <alignment horizontal="left" vertical="center"/>
    </xf>
    <xf numFmtId="0" fontId="0" fillId="14" borderId="0" pivotButton="0" quotePrefix="0" xfId="0"/>
    <xf numFmtId="0" fontId="19" fillId="3" borderId="0" applyAlignment="1" pivotButton="0" quotePrefix="0" xfId="0">
      <alignment horizontal="center" vertical="center"/>
    </xf>
    <xf numFmtId="0" fontId="0" fillId="16" borderId="0" pivotButton="0" quotePrefix="0" xfId="0"/>
    <xf numFmtId="0" fontId="20" fillId="4" borderId="0" applyAlignment="1" pivotButton="0" quotePrefix="0" xfId="0">
      <alignment horizontal="left" vertical="center" wrapText="1"/>
    </xf>
    <xf numFmtId="0" fontId="21" fillId="5" borderId="1" applyAlignment="1" pivotButton="0" quotePrefix="0" xfId="0">
      <alignment horizontal="center" vertical="center"/>
    </xf>
    <xf numFmtId="0" fontId="22" fillId="4" borderId="2" applyAlignment="1" pivotButton="0" quotePrefix="0" xfId="0">
      <alignment horizontal="left" vertical="top" wrapText="1"/>
    </xf>
    <xf numFmtId="0" fontId="23" fillId="16" borderId="2" applyAlignment="1" pivotButton="0" quotePrefix="0" xfId="0">
      <alignment horizontal="left" vertical="top" wrapText="1"/>
    </xf>
    <xf numFmtId="0" fontId="21" fillId="7" borderId="3" applyAlignment="1" pivotButton="0" quotePrefix="0" xfId="0">
      <alignment horizontal="center" vertical="center"/>
    </xf>
    <xf numFmtId="0" fontId="24" fillId="6" borderId="2" applyAlignment="1" pivotButton="0" quotePrefix="0" xfId="0">
      <alignment horizontal="left" vertical="top" wrapText="1"/>
    </xf>
    <xf numFmtId="0" fontId="21" fillId="9" borderId="4" applyAlignment="1" pivotButton="0" quotePrefix="0" xfId="0">
      <alignment horizontal="center" vertical="center"/>
    </xf>
    <xf numFmtId="0" fontId="25" fillId="8" borderId="2" applyAlignment="1" pivotButton="0" quotePrefix="0" xfId="0">
      <alignment horizontal="left" vertical="top" wrapText="1"/>
    </xf>
    <xf numFmtId="0" fontId="21" fillId="11" borderId="5" applyAlignment="1" pivotButton="0" quotePrefix="0" xfId="0">
      <alignment horizontal="center" vertical="center"/>
    </xf>
    <xf numFmtId="0" fontId="26" fillId="10" borderId="2" applyAlignment="1" pivotButton="0" quotePrefix="0" xfId="0">
      <alignment horizontal="left" vertical="top" wrapText="1"/>
    </xf>
    <xf numFmtId="0" fontId="21" fillId="3" borderId="6" applyAlignment="1" pivotButton="0" quotePrefix="0" xfId="0">
      <alignment horizontal="center" vertical="center"/>
    </xf>
    <xf numFmtId="0" fontId="27" fillId="17" borderId="2" applyAlignment="1" pivotButton="0" quotePrefix="0" xfId="0">
      <alignment horizontal="left" vertical="top" wrapText="1"/>
    </xf>
    <xf numFmtId="0" fontId="21" fillId="18" borderId="7" applyAlignment="1" pivotButton="0" quotePrefix="0" xfId="0">
      <alignment horizontal="center" vertical="center"/>
    </xf>
    <xf numFmtId="0" fontId="28" fillId="18" borderId="2" applyAlignment="1" pivotButton="0" quotePrefix="0" xfId="0">
      <alignment horizontal="center" vertical="center"/>
    </xf>
    <xf numFmtId="0" fontId="23" fillId="2" borderId="2" applyAlignment="1" pivotButton="0" quotePrefix="0" xfId="0">
      <alignment horizontal="center" vertical="center"/>
    </xf>
    <xf numFmtId="0" fontId="23" fillId="2" borderId="2" applyAlignment="1" pivotButton="0" quotePrefix="0" xfId="0">
      <alignment horizontal="left" vertical="center"/>
    </xf>
    <xf numFmtId="0" fontId="23" fillId="16" borderId="2" applyAlignment="1" pivotButton="0" quotePrefix="0" xfId="0">
      <alignment horizontal="center" vertical="center"/>
    </xf>
    <xf numFmtId="0" fontId="23" fillId="16" borderId="2" applyAlignment="1" pivotButton="0" quotePrefix="0" xfId="0">
      <alignment horizontal="left" vertical="center"/>
    </xf>
    <xf numFmtId="0" fontId="27" fillId="4" borderId="0" applyAlignment="1" pivotButton="0" quotePrefix="0" xfId="0">
      <alignment horizontal="center" vertical="center"/>
    </xf>
    <xf numFmtId="0" fontId="27" fillId="2" borderId="2" applyAlignment="1" pivotButton="0" quotePrefix="0" xfId="0">
      <alignment horizontal="left" vertical="center"/>
    </xf>
    <xf numFmtId="0" fontId="29" fillId="4" borderId="2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11" pivotButton="0" quotePrefix="0" xfId="0"/>
    <xf numFmtId="0" fontId="30" fillId="4" borderId="0" applyAlignment="1" pivotButton="0" quotePrefix="0" xfId="0">
      <alignment horizontal="left" vertical="center" wrapText="1"/>
    </xf>
    <xf numFmtId="0" fontId="28" fillId="5" borderId="2" applyAlignment="1" pivotButton="0" quotePrefix="0" xfId="0">
      <alignment horizontal="center" vertical="center"/>
    </xf>
    <xf numFmtId="0" fontId="27" fillId="4" borderId="2" applyAlignment="1" pivotButton="0" quotePrefix="0" xfId="0">
      <alignment horizontal="left" vertical="center"/>
    </xf>
    <xf numFmtId="0" fontId="31" fillId="4" borderId="2" applyAlignment="1" pivotButton="0" quotePrefix="0" xfId="0">
      <alignment horizontal="left" vertical="center" wrapText="1"/>
    </xf>
    <xf numFmtId="0" fontId="32" fillId="4" borderId="1" applyAlignment="1" pivotButton="0" quotePrefix="0" xfId="0">
      <alignment horizontal="center" vertical="center"/>
    </xf>
    <xf numFmtId="0" fontId="27" fillId="4" borderId="2" applyAlignment="1" pivotButton="0" quotePrefix="0" xfId="0">
      <alignment horizontal="center" vertical="center"/>
    </xf>
    <xf numFmtId="3" fontId="33" fillId="14" borderId="2" applyAlignment="1" pivotButton="0" quotePrefix="0" xfId="0">
      <alignment horizontal="center" vertical="center"/>
    </xf>
    <xf numFmtId="164" fontId="31" fillId="2" borderId="2" applyAlignment="1" pivotButton="0" quotePrefix="0" xfId="0">
      <alignment horizontal="center" vertical="center"/>
    </xf>
    <xf numFmtId="0" fontId="27" fillId="16" borderId="2" applyAlignment="1" pivotButton="0" quotePrefix="0" xfId="0">
      <alignment horizontal="left" vertical="center"/>
    </xf>
    <xf numFmtId="0" fontId="31" fillId="16" borderId="2" applyAlignment="1" pivotButton="0" quotePrefix="0" xfId="0">
      <alignment horizontal="left" vertical="center" wrapText="1"/>
    </xf>
    <xf numFmtId="0" fontId="27" fillId="16" borderId="2" applyAlignment="1" pivotButton="0" quotePrefix="0" xfId="0">
      <alignment horizontal="center" vertical="center"/>
    </xf>
    <xf numFmtId="0" fontId="21" fillId="5" borderId="2" applyAlignment="1" pivotButton="0" quotePrefix="0" xfId="0">
      <alignment horizontal="left" vertical="center"/>
    </xf>
    <xf numFmtId="0" fontId="34" fillId="5" borderId="2" applyAlignment="1" pivotButton="0" quotePrefix="0" xfId="0">
      <alignment horizontal="left" vertical="center"/>
    </xf>
    <xf numFmtId="3" fontId="35" fillId="5" borderId="1" applyAlignment="1" pivotButton="0" quotePrefix="0" xfId="0">
      <alignment horizontal="center" vertical="center"/>
    </xf>
    <xf numFmtId="0" fontId="36" fillId="6" borderId="0" applyAlignment="1" pivotButton="0" quotePrefix="0" xfId="0">
      <alignment horizontal="left" vertical="center" wrapText="1"/>
    </xf>
    <xf numFmtId="0" fontId="28" fillId="7" borderId="2" applyAlignment="1" pivotButton="0" quotePrefix="0" xfId="0">
      <alignment horizontal="center" vertical="center"/>
    </xf>
    <xf numFmtId="0" fontId="24" fillId="6" borderId="2" applyAlignment="1" pivotButton="0" quotePrefix="0" xfId="0">
      <alignment horizontal="left" vertical="center"/>
    </xf>
    <xf numFmtId="0" fontId="31" fillId="6" borderId="2" applyAlignment="1" pivotButton="0" quotePrefix="0" xfId="0">
      <alignment horizontal="left" vertical="center" wrapText="1"/>
    </xf>
    <xf numFmtId="0" fontId="37" fillId="6" borderId="3" applyAlignment="1" pivotButton="0" quotePrefix="0" xfId="0">
      <alignment horizontal="center" vertical="center"/>
    </xf>
    <xf numFmtId="0" fontId="24" fillId="16" borderId="2" applyAlignment="1" pivotButton="0" quotePrefix="0" xfId="0">
      <alignment horizontal="left" vertical="center"/>
    </xf>
    <xf numFmtId="0" fontId="21" fillId="7" borderId="2" applyAlignment="1" pivotButton="0" quotePrefix="0" xfId="0">
      <alignment horizontal="left" vertical="center"/>
    </xf>
    <xf numFmtId="0" fontId="34" fillId="7" borderId="2" applyAlignment="1" pivotButton="0" quotePrefix="0" xfId="0">
      <alignment horizontal="left" vertical="center"/>
    </xf>
    <xf numFmtId="3" fontId="35" fillId="7" borderId="3" applyAlignment="1" pivotButton="0" quotePrefix="0" xfId="0">
      <alignment horizontal="center" vertical="center"/>
    </xf>
    <xf numFmtId="0" fontId="38" fillId="8" borderId="0" applyAlignment="1" pivotButton="0" quotePrefix="0" xfId="0">
      <alignment horizontal="left" vertical="center" wrapText="1"/>
    </xf>
    <xf numFmtId="0" fontId="39" fillId="9" borderId="2" applyAlignment="1" pivotButton="0" quotePrefix="0" xfId="0">
      <alignment horizontal="center" vertical="center"/>
    </xf>
    <xf numFmtId="0" fontId="25" fillId="8" borderId="2" applyAlignment="1" pivotButton="0" quotePrefix="0" xfId="0">
      <alignment horizontal="left" vertical="center"/>
    </xf>
    <xf numFmtId="0" fontId="31" fillId="8" borderId="2" applyAlignment="1" pivotButton="0" quotePrefix="0" xfId="0">
      <alignment horizontal="left" vertical="center" wrapText="1"/>
    </xf>
    <xf numFmtId="0" fontId="40" fillId="8" borderId="4" applyAlignment="1" pivotButton="0" quotePrefix="0" xfId="0">
      <alignment horizontal="center"/>
    </xf>
    <xf numFmtId="0" fontId="38" fillId="8" borderId="2" applyAlignment="1" pivotButton="0" quotePrefix="0" xfId="0">
      <alignment horizontal="center" vertical="center"/>
    </xf>
    <xf numFmtId="0" fontId="25" fillId="16" borderId="2" applyAlignment="1" pivotButton="0" quotePrefix="0" xfId="0">
      <alignment horizontal="left" vertical="center"/>
    </xf>
    <xf numFmtId="0" fontId="38" fillId="16" borderId="2" applyAlignment="1" pivotButton="0" quotePrefix="0" xfId="0">
      <alignment horizontal="center" vertical="center"/>
    </xf>
    <xf numFmtId="0" fontId="21" fillId="9" borderId="2" applyAlignment="1" pivotButton="0" quotePrefix="0" xfId="0">
      <alignment horizontal="left" vertical="center"/>
    </xf>
    <xf numFmtId="0" fontId="34" fillId="9" borderId="2" applyAlignment="1" pivotButton="0" quotePrefix="0" xfId="0">
      <alignment horizontal="left" vertical="center"/>
    </xf>
    <xf numFmtId="3" fontId="35" fillId="9" borderId="4" applyAlignment="1" pivotButton="0" quotePrefix="0" xfId="0">
      <alignment horizontal="center" vertical="center"/>
    </xf>
    <xf numFmtId="0" fontId="41" fillId="19" borderId="2" applyAlignment="1" pivotButton="0" quotePrefix="0" xfId="0">
      <alignment horizontal="left" vertical="center"/>
    </xf>
    <xf numFmtId="0" fontId="42" fillId="19" borderId="12" applyAlignment="1" pivotButton="0" quotePrefix="0" xfId="0">
      <alignment horizontal="center"/>
    </xf>
    <xf numFmtId="0" fontId="43" fillId="19" borderId="2" applyAlignment="1" pivotButton="0" quotePrefix="0" xfId="0">
      <alignment horizontal="left" vertical="center"/>
    </xf>
    <xf numFmtId="2" fontId="44" fillId="19" borderId="2" applyAlignment="1" pivotButton="0" quotePrefix="0" xfId="0">
      <alignment horizontal="center" vertical="center"/>
    </xf>
    <xf numFmtId="3" fontId="45" fillId="14" borderId="13" applyAlignment="1" pivotButton="0" quotePrefix="0" xfId="0">
      <alignment horizontal="center" vertical="center"/>
    </xf>
    <xf numFmtId="0" fontId="41" fillId="10" borderId="0" applyAlignment="1" pivotButton="0" quotePrefix="0" xfId="0">
      <alignment horizontal="left" vertical="center" wrapText="1"/>
    </xf>
    <xf numFmtId="0" fontId="39" fillId="11" borderId="2" applyAlignment="1" pivotButton="0" quotePrefix="0" xfId="0">
      <alignment horizontal="center" vertical="center"/>
    </xf>
    <xf numFmtId="0" fontId="41" fillId="10" borderId="2" applyAlignment="1" pivotButton="0" quotePrefix="0" xfId="0">
      <alignment horizontal="left" vertical="center"/>
    </xf>
    <xf numFmtId="0" fontId="31" fillId="10" borderId="2" applyAlignment="1" pivotButton="0" quotePrefix="0" xfId="0">
      <alignment horizontal="left" vertical="center"/>
    </xf>
    <xf numFmtId="0" fontId="42" fillId="10" borderId="12" applyAlignment="1" pivotButton="0" quotePrefix="0" xfId="0">
      <alignment horizontal="center"/>
    </xf>
    <xf numFmtId="3" fontId="46" fillId="14" borderId="2" applyAlignment="1" pivotButton="0" quotePrefix="0" xfId="0">
      <alignment horizontal="center" vertical="center"/>
    </xf>
    <xf numFmtId="0" fontId="47" fillId="4" borderId="2" applyAlignment="1" pivotButton="0" quotePrefix="0" xfId="0">
      <alignment horizontal="right"/>
    </xf>
    <xf numFmtId="4" fontId="46" fillId="14" borderId="2" applyAlignment="1" pivotButton="0" quotePrefix="0" xfId="0">
      <alignment horizontal="center" vertical="center"/>
    </xf>
    <xf numFmtId="0" fontId="41" fillId="16" borderId="2" applyAlignment="1" pivotButton="0" quotePrefix="0" xfId="0">
      <alignment horizontal="left" vertical="center"/>
    </xf>
    <xf numFmtId="0" fontId="31" fillId="16" borderId="2" applyAlignment="1" pivotButton="0" quotePrefix="0" xfId="0">
      <alignment horizontal="left" vertical="center"/>
    </xf>
    <xf numFmtId="0" fontId="21" fillId="11" borderId="2" applyAlignment="1" pivotButton="0" quotePrefix="0" xfId="0">
      <alignment horizontal="left" vertical="center"/>
    </xf>
    <xf numFmtId="0" fontId="34" fillId="11" borderId="2" applyAlignment="1" pivotButton="0" quotePrefix="0" xfId="0">
      <alignment horizontal="left" vertical="center"/>
    </xf>
    <xf numFmtId="3" fontId="35" fillId="11" borderId="5" applyAlignment="1" pivotButton="0" quotePrefix="0" xfId="0">
      <alignment horizontal="center" vertical="center"/>
    </xf>
    <xf numFmtId="3" fontId="21" fillId="11" borderId="2" applyAlignment="1" pivotButton="0" quotePrefix="0" xfId="0">
      <alignment horizontal="center" vertical="center"/>
    </xf>
    <xf numFmtId="4" fontId="21" fillId="11" borderId="2" applyAlignment="1" pivotButton="0" quotePrefix="0" xfId="0">
      <alignment horizontal="center" vertical="center"/>
    </xf>
    <xf numFmtId="0" fontId="28" fillId="3" borderId="2" applyAlignment="1" pivotButton="0" quotePrefix="0" xfId="0">
      <alignment horizontal="center" vertical="center"/>
    </xf>
    <xf numFmtId="3" fontId="45" fillId="14" borderId="2" applyAlignment="1" pivotButton="0" quotePrefix="0" xfId="0">
      <alignment horizontal="center" vertical="center"/>
    </xf>
    <xf numFmtId="0" fontId="33" fillId="14" borderId="2" applyAlignment="1" pivotButton="0" quotePrefix="0" xfId="0">
      <alignment horizontal="center" vertical="center"/>
    </xf>
    <xf numFmtId="0" fontId="34" fillId="2" borderId="2" applyAlignment="1" pivotButton="0" quotePrefix="0" xfId="0">
      <alignment horizontal="left" vertical="center"/>
    </xf>
    <xf numFmtId="0" fontId="48" fillId="19" borderId="2" applyAlignment="1" pivotButton="0" quotePrefix="0" xfId="0">
      <alignment horizontal="left" vertical="center"/>
    </xf>
    <xf numFmtId="0" fontId="49" fillId="19" borderId="2" applyAlignment="1" pivotButton="0" quotePrefix="0" xfId="0">
      <alignment horizontal="left" vertical="center"/>
    </xf>
    <xf numFmtId="165" fontId="45" fillId="14" borderId="2" applyAlignment="1" pivotButton="0" quotePrefix="0" xfId="0">
      <alignment horizontal="center" vertical="center"/>
    </xf>
    <xf numFmtId="0" fontId="50" fillId="2" borderId="2" applyAlignment="1" pivotButton="0" quotePrefix="0" xfId="0">
      <alignment horizontal="left" vertical="center"/>
    </xf>
    <xf numFmtId="0" fontId="22" fillId="4" borderId="2" applyAlignment="1" pivotButton="0" quotePrefix="0" xfId="0">
      <alignment horizontal="left" vertical="center"/>
    </xf>
    <xf numFmtId="0" fontId="32" fillId="4" borderId="1" applyAlignment="1" pivotButton="0" quotePrefix="0" xfId="0">
      <alignment horizontal="center"/>
    </xf>
    <xf numFmtId="0" fontId="8" fillId="4" borderId="2" applyAlignment="1" pivotButton="0" quotePrefix="0" xfId="0">
      <alignment horizontal="left" vertical="center"/>
    </xf>
    <xf numFmtId="4" fontId="45" fillId="14" borderId="2" applyAlignment="1" pivotButton="0" quotePrefix="0" xfId="0">
      <alignment horizontal="center" vertical="center"/>
    </xf>
    <xf numFmtId="166" fontId="45" fillId="14" borderId="2" applyAlignment="1" pivotButton="0" quotePrefix="0" xfId="0">
      <alignment horizontal="center" vertical="center"/>
    </xf>
    <xf numFmtId="0" fontId="48" fillId="19" borderId="0" applyAlignment="1" pivotButton="0" quotePrefix="0" xfId="0">
      <alignment horizontal="center" vertical="center" wrapText="1"/>
    </xf>
    <xf numFmtId="0" fontId="19" fillId="9" borderId="0" applyAlignment="1" pivotButton="0" quotePrefix="0" xfId="0">
      <alignment horizontal="center" vertical="center"/>
    </xf>
    <xf numFmtId="0" fontId="39" fillId="9" borderId="2" applyAlignment="1" pivotButton="0" quotePrefix="0" xfId="0">
      <alignment horizontal="center" vertical="center" wrapText="1"/>
    </xf>
    <xf numFmtId="0" fontId="51" fillId="8" borderId="2" applyAlignment="1" pivotButton="0" quotePrefix="0" xfId="0">
      <alignment horizontal="left" vertical="center"/>
    </xf>
    <xf numFmtId="3" fontId="23" fillId="8" borderId="2" applyAlignment="1" pivotButton="0" quotePrefix="0" xfId="0">
      <alignment horizontal="center" vertical="center"/>
    </xf>
    <xf numFmtId="0" fontId="23" fillId="8" borderId="2" applyAlignment="1" pivotButton="0" quotePrefix="0" xfId="0">
      <alignment horizontal="center" vertical="center"/>
    </xf>
    <xf numFmtId="0" fontId="51" fillId="16" borderId="2" applyAlignment="1" pivotButton="0" quotePrefix="0" xfId="0">
      <alignment horizontal="left" vertical="center"/>
    </xf>
    <xf numFmtId="3" fontId="23" fillId="16" borderId="2" applyAlignment="1" pivotButton="0" quotePrefix="0" xfId="0">
      <alignment horizontal="center" vertical="center"/>
    </xf>
    <xf numFmtId="0" fontId="39" fillId="7" borderId="2" applyAlignment="1" pivotButton="0" quotePrefix="0" xfId="0">
      <alignment horizontal="center" vertical="center"/>
    </xf>
    <xf numFmtId="0" fontId="52" fillId="6" borderId="2" applyAlignment="1" pivotButton="0" quotePrefix="0" xfId="0">
      <alignment horizontal="left" vertical="center"/>
    </xf>
    <xf numFmtId="0" fontId="23" fillId="6" borderId="2" applyAlignment="1" pivotButton="0" quotePrefix="0" xfId="0">
      <alignment horizontal="center" vertical="center"/>
    </xf>
    <xf numFmtId="0" fontId="23" fillId="6" borderId="2" applyAlignment="1" pivotButton="0" quotePrefix="0" xfId="0">
      <alignment horizontal="left" vertical="center"/>
    </xf>
    <xf numFmtId="0" fontId="52" fillId="16" borderId="2" applyAlignment="1" pivotButton="0" quotePrefix="0" xfId="0">
      <alignment horizontal="left" vertical="center"/>
    </xf>
    <xf numFmtId="0" fontId="39" fillId="5" borderId="2" applyAlignment="1" pivotButton="0" quotePrefix="0" xfId="0">
      <alignment horizontal="center" vertical="center"/>
    </xf>
    <xf numFmtId="0" fontId="53" fillId="4" borderId="2" applyAlignment="1" pivotButton="0" quotePrefix="0" xfId="0">
      <alignment horizontal="left" vertical="center"/>
    </xf>
    <xf numFmtId="0" fontId="23" fillId="4" borderId="2" applyAlignment="1" pivotButton="0" quotePrefix="0" xfId="0">
      <alignment horizontal="center" vertical="center"/>
    </xf>
    <xf numFmtId="0" fontId="23" fillId="4" borderId="2" applyAlignment="1" pivotButton="0" quotePrefix="0" xfId="0">
      <alignment horizontal="left" vertical="center"/>
    </xf>
    <xf numFmtId="0" fontId="53" fillId="16" borderId="2" applyAlignment="1" pivotButton="0" quotePrefix="0" xfId="0">
      <alignment horizontal="left" vertical="center"/>
    </xf>
    <xf numFmtId="0" fontId="39" fillId="11" borderId="2" applyAlignment="1" pivotButton="0" quotePrefix="0" xfId="0">
      <alignment horizontal="center" vertical="center" wrapText="1"/>
    </xf>
    <xf numFmtId="0" fontId="44" fillId="10" borderId="2" applyAlignment="1" pivotButton="0" quotePrefix="0" xfId="0">
      <alignment horizontal="left" vertical="center"/>
    </xf>
    <xf numFmtId="0" fontId="23" fillId="10" borderId="2" applyAlignment="1" pivotButton="0" quotePrefix="0" xfId="0">
      <alignment horizontal="center" vertical="center"/>
    </xf>
    <xf numFmtId="0" fontId="44" fillId="16" borderId="2" applyAlignment="1" pivotButton="0" quotePrefix="0" xfId="0">
      <alignment horizontal="left" vertical="center"/>
    </xf>
    <xf numFmtId="0" fontId="19" fillId="11" borderId="0" applyAlignment="1" pivotButton="0" quotePrefix="0" xfId="0">
      <alignment horizontal="center" vertical="center"/>
    </xf>
    <xf numFmtId="0" fontId="54" fillId="10" borderId="0" applyAlignment="1" pivotButton="0" quotePrefix="0" xfId="0">
      <alignment horizontal="left" vertical="center" wrapText="1"/>
    </xf>
    <xf numFmtId="0" fontId="55" fillId="10" borderId="2" applyAlignment="1" pivotButton="0" quotePrefix="0" xfId="0">
      <alignment horizontal="center" vertical="center" wrapText="1"/>
    </xf>
    <xf numFmtId="0" fontId="30" fillId="10" borderId="2" applyAlignment="1" pivotButton="0" quotePrefix="0" xfId="0">
      <alignment horizontal="center" vertical="center" wrapText="1"/>
    </xf>
    <xf numFmtId="0" fontId="23" fillId="10" borderId="2" applyAlignment="1" pivotButton="0" quotePrefix="0" xfId="0">
      <alignment horizontal="left" vertical="center" wrapText="1"/>
    </xf>
    <xf numFmtId="0" fontId="55" fillId="16" borderId="2" applyAlignment="1" pivotButton="0" quotePrefix="0" xfId="0">
      <alignment horizontal="center" vertical="center" wrapText="1"/>
    </xf>
    <xf numFmtId="0" fontId="30" fillId="16" borderId="2" applyAlignment="1" pivotButton="0" quotePrefix="0" xfId="0">
      <alignment horizontal="center" vertical="center" wrapText="1"/>
    </xf>
    <xf numFmtId="0" fontId="23" fillId="16" borderId="2" applyAlignment="1" pivotButton="0" quotePrefix="0" xfId="0">
      <alignment horizontal="left" vertical="center" wrapText="1"/>
    </xf>
    <xf numFmtId="0" fontId="52" fillId="6" borderId="2" applyAlignment="1" pivotButton="0" quotePrefix="0" xfId="0">
      <alignment horizontal="center" vertical="center" wrapText="1"/>
    </xf>
    <xf numFmtId="0" fontId="30" fillId="6" borderId="2" applyAlignment="1" pivotButton="0" quotePrefix="0" xfId="0">
      <alignment horizontal="center" vertical="center" wrapText="1"/>
    </xf>
    <xf numFmtId="0" fontId="23" fillId="6" borderId="2" applyAlignment="1" pivotButton="0" quotePrefix="0" xfId="0">
      <alignment horizontal="left" vertical="center" wrapText="1"/>
    </xf>
    <xf numFmtId="0" fontId="52" fillId="16" borderId="2" applyAlignment="1" pivotButton="0" quotePrefix="0" xfId="0">
      <alignment horizontal="center" vertical="center" wrapText="1"/>
    </xf>
    <xf numFmtId="0" fontId="51" fillId="8" borderId="2" applyAlignment="1" pivotButton="0" quotePrefix="0" xfId="0">
      <alignment horizontal="center" vertical="center" wrapText="1"/>
    </xf>
    <xf numFmtId="0" fontId="30" fillId="8" borderId="2" applyAlignment="1" pivotButton="0" quotePrefix="0" xfId="0">
      <alignment horizontal="center" vertical="center" wrapText="1"/>
    </xf>
    <xf numFmtId="0" fontId="23" fillId="8" borderId="2" applyAlignment="1" pivotButton="0" quotePrefix="0" xfId="0">
      <alignment horizontal="left" vertical="center" wrapText="1"/>
    </xf>
    <xf numFmtId="0" fontId="51" fillId="16" borderId="2" applyAlignment="1" pivotButton="0" quotePrefix="0" xfId="0">
      <alignment horizontal="center" vertical="center" wrapText="1"/>
    </xf>
    <xf numFmtId="0" fontId="39" fillId="3" borderId="2" applyAlignment="1" pivotButton="0" quotePrefix="0" xfId="0">
      <alignment horizontal="center" vertical="center"/>
    </xf>
    <xf numFmtId="0" fontId="56" fillId="4" borderId="2" applyAlignment="1" pivotButton="0" quotePrefix="0" xfId="0">
      <alignment horizontal="center" vertical="center" wrapText="1"/>
    </xf>
    <xf numFmtId="0" fontId="30" fillId="4" borderId="2" applyAlignment="1" pivotButton="0" quotePrefix="0" xfId="0">
      <alignment horizontal="center" vertical="center" wrapText="1"/>
    </xf>
    <xf numFmtId="0" fontId="23" fillId="4" borderId="2" applyAlignment="1" pivotButton="0" quotePrefix="0" xfId="0">
      <alignment horizontal="left" vertical="center" wrapText="1"/>
    </xf>
    <xf numFmtId="0" fontId="56" fillId="16" borderId="2" applyAlignment="1" pivotButton="0" quotePrefix="0" xfId="0">
      <alignment horizontal="center" vertical="center" wrapText="1"/>
    </xf>
    <xf numFmtId="0" fontId="19" fillId="13" borderId="0" applyAlignment="1" pivotButton="0" quotePrefix="0" xfId="0">
      <alignment horizontal="center" vertical="center"/>
    </xf>
    <xf numFmtId="0" fontId="57" fillId="12" borderId="0" applyAlignment="1" pivotButton="0" quotePrefix="0" xfId="0">
      <alignment horizontal="left" vertical="center" wrapText="1"/>
    </xf>
    <xf numFmtId="0" fontId="21" fillId="13" borderId="14" applyAlignment="1" pivotButton="0" quotePrefix="0" xfId="0">
      <alignment horizontal="center" vertical="center"/>
    </xf>
    <xf numFmtId="0" fontId="39" fillId="13" borderId="2" applyAlignment="1" pivotButton="0" quotePrefix="0" xfId="0">
      <alignment horizontal="center" vertical="center"/>
    </xf>
    <xf numFmtId="0" fontId="58" fillId="12" borderId="2" applyAlignment="1" pivotButton="0" quotePrefix="0" xfId="0">
      <alignment horizontal="center" vertical="center" wrapText="1"/>
    </xf>
    <xf numFmtId="0" fontId="23" fillId="12" borderId="2" applyAlignment="1" pivotButton="0" quotePrefix="0" xfId="0">
      <alignment horizontal="left" vertical="center" wrapText="1"/>
    </xf>
    <xf numFmtId="0" fontId="58" fillId="16" borderId="2" applyAlignment="1" pivotButton="0" quotePrefix="0" xfId="0">
      <alignment horizontal="center" vertical="center" wrapText="1"/>
    </xf>
    <xf numFmtId="0" fontId="19" fillId="15" borderId="0" applyAlignment="1" pivotButton="0" quotePrefix="0" xfId="0">
      <alignment horizontal="center" vertical="center"/>
    </xf>
    <xf numFmtId="0" fontId="59" fillId="14" borderId="0" applyAlignment="1" pivotButton="0" quotePrefix="0" xfId="0">
      <alignment horizontal="left" vertical="center" wrapText="1"/>
    </xf>
    <xf numFmtId="0" fontId="60" fillId="14" borderId="2" applyAlignment="1" pivotButton="0" quotePrefix="0" xfId="0">
      <alignment horizontal="center" vertical="center" wrapText="1"/>
    </xf>
    <xf numFmtId="0" fontId="30" fillId="14" borderId="2" applyAlignment="1" pivotButton="0" quotePrefix="0" xfId="0">
      <alignment horizontal="left" vertical="center" wrapText="1"/>
    </xf>
    <xf numFmtId="0" fontId="23" fillId="14" borderId="2" applyAlignment="1" pivotButton="0" quotePrefix="0" xfId="0">
      <alignment horizontal="left" vertical="center" wrapText="1"/>
    </xf>
    <xf numFmtId="0" fontId="60" fillId="16" borderId="2" applyAlignment="1" pivotButton="0" quotePrefix="0" xfId="0">
      <alignment horizontal="center" vertical="center" wrapText="1"/>
    </xf>
    <xf numFmtId="0" fontId="30" fillId="16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3A6B"/>
    <outlinePr summaryBelow="1" summaryRight="1"/>
    <pageSetUpPr/>
  </sheetPr>
  <dimension ref="A1:N5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5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0" customWidth="1" min="12" max="12"/>
    <col width="10" customWidth="1" min="13" max="13"/>
    <col width="5" customWidth="1" min="14" max="1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 ht="40" customHeight="1">
      <c r="A3" s="1" t="n"/>
      <c r="B3" s="2" t="inlineStr">
        <is>
          <t>FUNCTION POINT ESTIMATOR</t>
        </is>
      </c>
      <c r="N3" s="1" t="n"/>
    </row>
    <row r="4" ht="22" customHeight="1">
      <c r="A4" s="1" t="n"/>
      <c r="B4" s="3" t="inlineStr">
        <is>
          <t>Industry-Specific Productivity Benchmarks · Multi-Method · Multi-Technology</t>
        </is>
      </c>
      <c r="N4" s="1" t="n"/>
    </row>
    <row r="5" ht="22" customHeight="1">
      <c r="A5" s="1" t="n"/>
      <c r="B5" s="4" t="inlineStr">
        <is>
          <t>Simple FP  ·  COSMIC FP  ·  IFPUG FP  ·  ERP / SAP Hybrid</t>
        </is>
      </c>
      <c r="N5" s="1" t="n"/>
    </row>
    <row r="6" ht="14" customHeight="1">
      <c r="A6" s="1" t="n"/>
      <c r="B6" s="5" t="n"/>
      <c r="N6" s="1" t="n"/>
    </row>
    <row r="7" ht="14" customHeight="1">
      <c r="A7" s="1" t="n"/>
      <c r="B7" s="5" t="n"/>
      <c r="N7" s="1" t="n"/>
    </row>
    <row r="8" ht="14" customHeight="1">
      <c r="A8" s="1" t="n"/>
      <c r="B8" s="5" t="n"/>
      <c r="N8" s="1" t="n"/>
    </row>
    <row r="9" ht="14" customHeight="1">
      <c r="A9" s="1" t="n"/>
      <c r="B9" s="5" t="n"/>
      <c r="N9" s="1" t="n"/>
    </row>
    <row r="10" ht="14" customHeight="1">
      <c r="A10" s="1" t="n"/>
      <c r="B10" s="5" t="n"/>
      <c r="N10" s="1" t="n"/>
    </row>
    <row r="11" ht="20" customHeight="1">
      <c r="A11" s="1" t="n"/>
      <c r="B11" s="6" t="inlineStr">
        <is>
          <t>WORKBOOK NAVIGATION</t>
        </is>
      </c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</row>
    <row r="12" ht="18" customHeight="1">
      <c r="A12" s="1" t="n"/>
      <c r="B12" s="7" t="inlineStr">
        <is>
          <t>📋</t>
        </is>
      </c>
      <c r="D12" s="8" t="inlineStr">
        <is>
          <t>Guidance &amp; How To Use</t>
        </is>
      </c>
      <c r="N12" s="1" t="n"/>
    </row>
    <row r="13" ht="15" customHeight="1">
      <c r="A13" s="1" t="n"/>
      <c r="D13" s="9" t="inlineStr">
        <is>
          <t>Step-by-step instructions, methodology overview, counting rules</t>
        </is>
      </c>
      <c r="N13" s="1" t="n"/>
    </row>
    <row r="14" ht="15" customHeight="1">
      <c r="A14" s="1" t="n"/>
      <c r="N14" s="1" t="n"/>
    </row>
    <row r="15" ht="14" customHeight="1">
      <c r="A15" s="1" t="n"/>
      <c r="D15" s="10" t="inlineStr">
        <is>
          <t>→ Click tab: '📋 Guidance'</t>
        </is>
      </c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</row>
    <row r="17" ht="18" customHeight="1">
      <c r="A17" s="1" t="n"/>
      <c r="B17" s="12" t="inlineStr">
        <is>
          <t>⚙️</t>
        </is>
      </c>
      <c r="D17" s="13" t="inlineStr">
        <is>
          <t>FP Estimator (Input Here)</t>
        </is>
      </c>
      <c r="N17" s="1" t="n"/>
    </row>
    <row r="18" ht="15" customHeight="1">
      <c r="A18" s="1" t="n"/>
      <c r="D18" s="14" t="inlineStr">
        <is>
          <t>Enter your project scope; get instant SFP, COSMIC, IFPUG estimates</t>
        </is>
      </c>
      <c r="N18" s="1" t="n"/>
    </row>
    <row r="19" ht="15" customHeight="1">
      <c r="A19" s="1" t="n"/>
      <c r="N19" s="1" t="n"/>
    </row>
    <row r="20" ht="14" customHeight="1">
      <c r="A20" s="1" t="n"/>
      <c r="D20" s="15" t="inlineStr">
        <is>
          <t>→ Click tab: '⚙️ FP Estimator'</t>
        </is>
      </c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</row>
    <row r="22" ht="18" customHeight="1">
      <c r="A22" s="1" t="n"/>
      <c r="B22" s="17" t="inlineStr">
        <is>
          <t>📊</t>
        </is>
      </c>
      <c r="D22" s="18" t="inlineStr">
        <is>
          <t>Productivity Benchmarks</t>
        </is>
      </c>
      <c r="N22" s="1" t="n"/>
    </row>
    <row r="23" ht="15" customHeight="1">
      <c r="A23" s="1" t="n"/>
      <c r="D23" s="19" t="inlineStr">
        <is>
          <t>Industry &amp; technology-specific hrs/FP benchmarks for 12 sectors</t>
        </is>
      </c>
      <c r="N23" s="1" t="n"/>
    </row>
    <row r="24" ht="15" customHeight="1">
      <c r="A24" s="1" t="n"/>
      <c r="N24" s="1" t="n"/>
    </row>
    <row r="25" ht="14" customHeight="1">
      <c r="A25" s="1" t="n"/>
      <c r="D25" s="20" t="inlineStr">
        <is>
          <t>→ Click tab: '📊 Benchmarks'</t>
        </is>
      </c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 ht="18" customHeight="1">
      <c r="A27" s="1" t="n"/>
      <c r="B27" s="22" t="inlineStr">
        <is>
          <t>📌</t>
        </is>
      </c>
      <c r="D27" s="23" t="inlineStr">
        <is>
          <t>Assumptions</t>
        </is>
      </c>
      <c r="N27" s="1" t="n"/>
    </row>
    <row r="28" ht="15" customHeight="1">
      <c r="A28" s="1" t="n"/>
      <c r="D28" s="24" t="inlineStr">
        <is>
          <t>All baseline assumptions, benchmark sources, and calibration notes</t>
        </is>
      </c>
      <c r="N28" s="1" t="n"/>
    </row>
    <row r="29" ht="15" customHeight="1">
      <c r="A29" s="1" t="n"/>
      <c r="N29" s="1" t="n"/>
    </row>
    <row r="30" ht="14" customHeight="1">
      <c r="A30" s="1" t="n"/>
      <c r="D30" s="25" t="inlineStr">
        <is>
          <t>→ Click tab: '📌 Assumptions'</t>
        </is>
      </c>
      <c r="E30" s="26" t="n"/>
      <c r="F30" s="26" t="n"/>
      <c r="G30" s="26" t="n"/>
      <c r="H30" s="26" t="n"/>
      <c r="I30" s="26" t="n"/>
      <c r="J30" s="26" t="n"/>
      <c r="K30" s="26" t="n"/>
      <c r="L30" s="26" t="n"/>
      <c r="M30" s="26" t="n"/>
      <c r="N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 ht="18" customHeight="1">
      <c r="A32" s="1" t="n"/>
      <c r="B32" s="27" t="inlineStr">
        <is>
          <t>⚠️</t>
        </is>
      </c>
      <c r="D32" s="28" t="inlineStr">
        <is>
          <t>Challenges &amp; Risks</t>
        </is>
      </c>
      <c r="N32" s="1" t="n"/>
    </row>
    <row r="33" ht="15" customHeight="1">
      <c r="A33" s="1" t="n"/>
      <c r="D33" s="29" t="inlineStr">
        <is>
          <t>Where each FP method struggles and what to watch out for</t>
        </is>
      </c>
      <c r="N33" s="1" t="n"/>
    </row>
    <row r="34" ht="15" customHeight="1">
      <c r="A34" s="1" t="n"/>
      <c r="N34" s="1" t="n"/>
    </row>
    <row r="35" ht="14" customHeight="1">
      <c r="A35" s="1" t="n"/>
      <c r="D35" s="30" t="inlineStr">
        <is>
          <t>→ Click tab: '⚠️ Challenges'</t>
        </is>
      </c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 ht="18" customHeight="1">
      <c r="A37" s="1" t="n"/>
      <c r="B37" s="32" t="inlineStr">
        <is>
          <t>✅</t>
        </is>
      </c>
      <c r="D37" s="33" t="inlineStr">
        <is>
          <t>Recommendations</t>
        </is>
      </c>
      <c r="N37" s="1" t="n"/>
    </row>
    <row r="38" ht="15" customHeight="1">
      <c r="A38" s="1" t="n"/>
      <c r="D38" s="34" t="inlineStr">
        <is>
          <t>Decision guide: which method to use when, and how to improve accuracy</t>
        </is>
      </c>
      <c r="N38" s="1" t="n"/>
    </row>
    <row r="39" ht="15" customHeight="1">
      <c r="A39" s="1" t="n"/>
      <c r="N39" s="1" t="n"/>
    </row>
    <row r="40" ht="14" customHeight="1">
      <c r="A40" s="1" t="n"/>
      <c r="D40" s="35" t="inlineStr">
        <is>
          <t>→ Click tab: '✅ Recommendations'</t>
        </is>
      </c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</row>
  </sheetData>
  <mergeCells count="26">
    <mergeCell ref="D37:M37"/>
    <mergeCell ref="D12:M12"/>
    <mergeCell ref="B8:M8"/>
    <mergeCell ref="B10:M10"/>
    <mergeCell ref="B37:C40"/>
    <mergeCell ref="D13:M14"/>
    <mergeCell ref="B9:M9"/>
    <mergeCell ref="B6:M6"/>
    <mergeCell ref="D28:M29"/>
    <mergeCell ref="D33:M34"/>
    <mergeCell ref="D22:M22"/>
    <mergeCell ref="B5:M5"/>
    <mergeCell ref="D18:M19"/>
    <mergeCell ref="B32:C35"/>
    <mergeCell ref="B22:C25"/>
    <mergeCell ref="B4:M4"/>
    <mergeCell ref="D27:M27"/>
    <mergeCell ref="B7:M7"/>
    <mergeCell ref="D32:M32"/>
    <mergeCell ref="B12:C15"/>
    <mergeCell ref="B3:M3"/>
    <mergeCell ref="D17:M17"/>
    <mergeCell ref="B27:C30"/>
    <mergeCell ref="D23:M24"/>
    <mergeCell ref="D38:M39"/>
    <mergeCell ref="B17:C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563EB"/>
    <outlinePr summaryBelow="1" summaryRight="1"/>
    <pageSetUpPr/>
  </sheetPr>
  <dimension ref="A1:O1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45" customWidth="1" min="3" max="3"/>
    <col width="35" customWidth="1" min="4" max="4"/>
    <col width="20" customWidth="1" min="5" max="5"/>
    <col width="20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32" customHeight="1">
      <c r="A1" s="37" t="inlineStr">
        <is>
          <t>📋  GUIDANCE — How to Use This FP Estimator</t>
        </is>
      </c>
      <c r="K1" s="38" t="n"/>
      <c r="L1" s="38" t="n"/>
      <c r="M1" s="38" t="n"/>
      <c r="N1" s="38" t="n"/>
      <c r="O1" s="38" t="n"/>
    </row>
    <row r="2" ht="22" customHeight="1">
      <c r="A2" s="39" t="inlineStr">
        <is>
          <t>This tool supports Simple FP (SFP), COSMIC FP (CFP), and IFPUG FP (UFP) estimation. Follow the steps below before using the Estimator sheet.</t>
        </is>
      </c>
      <c r="K2" s="38" t="n"/>
      <c r="L2" s="38" t="n"/>
      <c r="M2" s="38" t="n"/>
      <c r="N2" s="38" t="n"/>
      <c r="O2" s="38" t="n"/>
    </row>
    <row r="3">
      <c r="A3" s="38" t="n"/>
      <c r="B3" s="38" t="n"/>
      <c r="C3" s="38" t="n"/>
      <c r="D3" s="38" t="n"/>
      <c r="E3" s="38" t="n"/>
      <c r="F3" s="38" t="n"/>
      <c r="G3" s="38" t="n"/>
      <c r="H3" s="38" t="n"/>
      <c r="I3" s="38" t="n"/>
      <c r="J3" s="38" t="n"/>
      <c r="K3" s="38" t="n"/>
      <c r="L3" s="38" t="n"/>
      <c r="M3" s="38" t="n"/>
      <c r="N3" s="38" t="n"/>
      <c r="O3" s="38" t="n"/>
    </row>
    <row r="4" ht="22" customHeight="1">
      <c r="A4" s="40" t="inlineStr">
        <is>
          <t>STEP 1 — Understand FP Method Basics</t>
        </is>
      </c>
      <c r="K4" s="38" t="n"/>
      <c r="L4" s="38" t="n"/>
      <c r="M4" s="38" t="n"/>
      <c r="N4" s="38" t="n"/>
      <c r="O4" s="38" t="n"/>
    </row>
    <row r="5" ht="40" customHeight="1">
      <c r="A5" s="38" t="n"/>
      <c r="B5" s="41" t="inlineStr">
        <is>
          <t>What is a Function Point?</t>
        </is>
      </c>
      <c r="D5" s="42" t="inlineStr">
        <is>
          <t>A Function Point (FP) is a technology-independent measure of software size based on what the system DOES for users, not how it is built. 1 FP represents one unit of functional value delivered to a user.</t>
        </is>
      </c>
      <c r="K5" s="38" t="n"/>
      <c r="L5" s="38" t="n"/>
      <c r="M5" s="38" t="n"/>
      <c r="N5" s="38" t="n"/>
      <c r="O5" s="38" t="n"/>
    </row>
    <row r="6" ht="60" customHeight="1">
      <c r="A6" s="38" t="n"/>
      <c r="B6" s="41" t="inlineStr">
        <is>
          <t>Three methods supported:</t>
        </is>
      </c>
      <c r="D6" s="42" t="inlineStr">
        <is>
          <t>• Simple FP (SFP): Flat weights, fastest, no complexity rating. Best for Agile &amp; early estimates.
• COSMIC FP (CFP): Counts data movements (Entry/Exit/Read/Write). Best for real-time/API systems.
• IFPUG FP (UFP): Full complexity weighting matrix. ISO 20926 standard. Best for contracts/benchmarking.</t>
        </is>
      </c>
      <c r="K6" s="38" t="n"/>
      <c r="L6" s="38" t="n"/>
      <c r="M6" s="38" t="n"/>
      <c r="N6" s="38" t="n"/>
      <c r="O6" s="38" t="n"/>
    </row>
    <row r="7" ht="40" customHeight="1">
      <c r="A7" s="38" t="n"/>
      <c r="B7" s="41" t="inlineStr">
        <is>
          <t>Gartner / ERP mode:</t>
        </is>
      </c>
      <c r="D7" s="42" t="inlineStr">
        <is>
          <t>For ERP projects: use IFPUG UFP only for RICEF custom objects. Configuration is sized separately using Configuration Points (1 CP = 1 consultant-day). Gartner benchmarks are then applied to total.</t>
        </is>
      </c>
      <c r="K7" s="38" t="n"/>
      <c r="L7" s="38" t="n"/>
      <c r="M7" s="38" t="n"/>
      <c r="N7" s="38" t="n"/>
      <c r="O7" s="38" t="n"/>
    </row>
    <row r="8">
      <c r="A8" s="38" t="n"/>
      <c r="B8" s="38" t="n"/>
      <c r="C8" s="38" t="n"/>
      <c r="D8" s="38" t="n"/>
      <c r="E8" s="38" t="n"/>
      <c r="F8" s="38" t="n"/>
      <c r="G8" s="38" t="n"/>
      <c r="H8" s="38" t="n"/>
      <c r="I8" s="38" t="n"/>
      <c r="J8" s="38" t="n"/>
      <c r="K8" s="38" t="n"/>
      <c r="L8" s="38" t="n"/>
      <c r="M8" s="38" t="n"/>
      <c r="N8" s="38" t="n"/>
      <c r="O8" s="38" t="n"/>
    </row>
    <row r="9" ht="22" customHeight="1">
      <c r="A9" s="43" t="inlineStr">
        <is>
          <t>STEP 2 — Define Project Boundary</t>
        </is>
      </c>
      <c r="K9" s="38" t="n"/>
      <c r="L9" s="38" t="n"/>
      <c r="M9" s="38" t="n"/>
      <c r="N9" s="38" t="n"/>
      <c r="O9" s="38" t="n"/>
    </row>
    <row r="10" ht="40" customHeight="1">
      <c r="A10" s="38" t="n"/>
      <c r="B10" s="44" t="inlineStr">
        <is>
          <t>Application boundary rule</t>
        </is>
      </c>
      <c r="D10" s="42" t="inlineStr">
        <is>
          <t>Include ONLY functions that your team is building. Exclude: vendor-provided functionality (SAP standard screens, SaaS features), infrastructure/OS layers, 3rd-party APIs (count as EIF/EXT only).</t>
        </is>
      </c>
      <c r="K10" s="38" t="n"/>
      <c r="L10" s="38" t="n"/>
      <c r="M10" s="38" t="n"/>
      <c r="N10" s="38" t="n"/>
      <c r="O10" s="38" t="n"/>
    </row>
    <row r="11" ht="40" customHeight="1">
      <c r="A11" s="38" t="n"/>
      <c r="B11" s="44" t="inlineStr">
        <is>
          <t>What to include as External Inputs (EI)</t>
        </is>
      </c>
      <c r="D11" s="42" t="inlineStr">
        <is>
          <t>Any screen, form, or API endpoint that receives data FROM a user or external system and UPDATES an internal data store. Examples: Registration form, Order placement, Status update API.</t>
        </is>
      </c>
      <c r="K11" s="38" t="n"/>
      <c r="L11" s="38" t="n"/>
      <c r="M11" s="38" t="n"/>
      <c r="N11" s="38" t="n"/>
      <c r="O11" s="38" t="n"/>
    </row>
    <row r="12" ht="40" customHeight="1">
      <c r="A12" s="38" t="n"/>
      <c r="B12" s="44" t="inlineStr">
        <is>
          <t>What to include as External Outputs (EO)</t>
        </is>
      </c>
      <c r="D12" s="42" t="inlineStr">
        <is>
          <t>Any screen, report, or message that sends DERIVED/PROCESSED data TO a user. Must involve calculation or aggregation. Examples: Revenue dashboard, Invoice PDF, Analytics report.</t>
        </is>
      </c>
      <c r="K12" s="38" t="n"/>
      <c r="L12" s="38" t="n"/>
      <c r="M12" s="38" t="n"/>
      <c r="N12" s="38" t="n"/>
      <c r="O12" s="38" t="n"/>
    </row>
    <row r="13" ht="40" customHeight="1">
      <c r="A13" s="38" t="n"/>
      <c r="B13" s="44" t="inlineStr">
        <is>
          <t>What to include as External Inquiries (EQ)</t>
        </is>
      </c>
      <c r="D13" s="42" t="inlineStr">
        <is>
          <t>Read-only retrieval of data WITHOUT derivation or update. Examples: Search results page, Order history view, Lookup screens.</t>
        </is>
      </c>
      <c r="K13" s="38" t="n"/>
      <c r="L13" s="38" t="n"/>
      <c r="M13" s="38" t="n"/>
      <c r="N13" s="38" t="n"/>
      <c r="O13" s="38" t="n"/>
    </row>
    <row r="14" ht="40" customHeight="1">
      <c r="A14" s="38" t="n"/>
      <c r="B14" s="44" t="inlineStr">
        <is>
          <t>Internal Logical Files (ILF)</t>
        </is>
      </c>
      <c r="D14" s="42" t="inlineStr">
        <is>
          <t>Logical groups of data MAINTAINED (created/updated/deleted) by the application. Examples: Customer Master, Order Table, Product Catalog.</t>
        </is>
      </c>
      <c r="K14" s="38" t="n"/>
      <c r="L14" s="38" t="n"/>
      <c r="M14" s="38" t="n"/>
      <c r="N14" s="38" t="n"/>
      <c r="O14" s="38" t="n"/>
    </row>
    <row r="15" ht="40" customHeight="1">
      <c r="A15" s="38" t="n"/>
      <c r="B15" s="44" t="inlineStr">
        <is>
          <t>External Interface Files (EIF)</t>
        </is>
      </c>
      <c r="D15" s="42" t="inlineStr">
        <is>
          <t>Data maintained by ANOTHER application but READ by yours. Examples: Payment Gateway data, Google Maps API, Legacy ERP data.</t>
        </is>
      </c>
      <c r="K15" s="38" t="n"/>
      <c r="L15" s="38" t="n"/>
      <c r="M15" s="38" t="n"/>
      <c r="N15" s="38" t="n"/>
      <c r="O15" s="38" t="n"/>
    </row>
    <row r="16">
      <c r="A16" s="38" t="n"/>
      <c r="B16" s="38" t="n"/>
      <c r="C16" s="38" t="n"/>
      <c r="D16" s="38" t="n"/>
      <c r="E16" s="38" t="n"/>
      <c r="F16" s="38" t="n"/>
      <c r="G16" s="38" t="n"/>
      <c r="H16" s="38" t="n"/>
      <c r="I16" s="38" t="n"/>
      <c r="J16" s="38" t="n"/>
      <c r="K16" s="38" t="n"/>
      <c r="L16" s="38" t="n"/>
      <c r="M16" s="38" t="n"/>
      <c r="N16" s="38" t="n"/>
      <c r="O16" s="38" t="n"/>
    </row>
    <row r="17" ht="22" customHeight="1">
      <c r="A17" s="45" t="inlineStr">
        <is>
          <t>STEP 3 — IFPUG Complexity Rating</t>
        </is>
      </c>
      <c r="K17" s="38" t="n"/>
      <c r="L17" s="38" t="n"/>
      <c r="M17" s="38" t="n"/>
      <c r="N17" s="38" t="n"/>
      <c r="O17" s="38" t="n"/>
    </row>
    <row r="18" ht="40" customHeight="1">
      <c r="A18" s="38" t="n"/>
      <c r="B18" s="46" t="inlineStr">
        <is>
          <t>DETs — Data Element Types</t>
        </is>
      </c>
      <c r="D18" s="42" t="inlineStr">
        <is>
          <t>Count each unique non-repeated field that appears on a screen, report, or in a file. Do NOT count technical fields (timestamps, row IDs) unless user-visible. Count each unique field once per function, not per occurrence.</t>
        </is>
      </c>
      <c r="K18" s="38" t="n"/>
      <c r="L18" s="38" t="n"/>
      <c r="M18" s="38" t="n"/>
      <c r="N18" s="38" t="n"/>
      <c r="O18" s="38" t="n"/>
    </row>
    <row r="19" ht="40" customHeight="1">
      <c r="A19" s="38" t="n"/>
      <c r="B19" s="46" t="inlineStr">
        <is>
          <t>FTRs — File Types Referenced (for EI/EO/EQ)</t>
        </is>
      </c>
      <c r="D19" s="42" t="inlineStr">
        <is>
          <t>Count the number of ILFs or EIFs that are READ or MAINTAINED by the transaction. Minimum 1. Example: Place Order reads Customer, Product, Coupon = 3 FTRs.</t>
        </is>
      </c>
      <c r="K19" s="38" t="n"/>
      <c r="L19" s="38" t="n"/>
      <c r="M19" s="38" t="n"/>
      <c r="N19" s="38" t="n"/>
      <c r="O19" s="38" t="n"/>
    </row>
    <row r="20" ht="40" customHeight="1">
      <c r="A20" s="38" t="n"/>
      <c r="B20" s="46" t="inlineStr">
        <is>
          <t>RETs — Record Element Types (for ILF/EIF)</t>
        </is>
      </c>
      <c r="D20" s="42" t="inlineStr">
        <is>
          <t>Count logical sub-groups within a file. Example: Customer Master with Address sub-group = 2 RETs. Simple flat files = 1 RET.</t>
        </is>
      </c>
      <c r="K20" s="38" t="n"/>
      <c r="L20" s="38" t="n"/>
      <c r="M20" s="38" t="n"/>
      <c r="N20" s="38" t="n"/>
      <c r="O20" s="38" t="n"/>
    </row>
    <row r="21" ht="60" customHeight="1">
      <c r="A21" s="38" t="n"/>
      <c r="B21" s="46" t="inlineStr">
        <is>
          <t>Complexity matrix — Transaction functions (EI/EO/EQ)</t>
        </is>
      </c>
      <c r="D21" s="42" t="inlineStr">
        <is>
          <t xml:space="preserve">         | 1-4 DET | 5-15 DET | 16+ DET
1 FTR    |  Low    |  Low     |  Avg
2 FTR    |  Low    |  Avg     |  High
3+ FTR   |  Avg    |  High    |  High</t>
        </is>
      </c>
      <c r="K21" s="38" t="n"/>
      <c r="L21" s="38" t="n"/>
      <c r="M21" s="38" t="n"/>
      <c r="N21" s="38" t="n"/>
      <c r="O21" s="38" t="n"/>
    </row>
    <row r="22" ht="60" customHeight="1">
      <c r="A22" s="38" t="n"/>
      <c r="B22" s="46" t="inlineStr">
        <is>
          <t>Complexity matrix — Data functions (ILF/EIF)</t>
        </is>
      </c>
      <c r="D22" s="42" t="inlineStr">
        <is>
          <t xml:space="preserve">         | 1-19 DET | 20-50 DET | 51+ DET
1 RET    |   Low    |   Low     |   Avg
2-5 RET  |   Low    |   Avg     |   High
6+ RET   |   Avg    |   High    |   High</t>
        </is>
      </c>
      <c r="K22" s="38" t="n"/>
      <c r="L22" s="38" t="n"/>
      <c r="M22" s="38" t="n"/>
      <c r="N22" s="38" t="n"/>
      <c r="O22" s="38" t="n"/>
    </row>
    <row r="23">
      <c r="A23" s="38" t="n"/>
      <c r="B23" s="38" t="n"/>
      <c r="C23" s="38" t="n"/>
      <c r="D23" s="38" t="n"/>
      <c r="E23" s="38" t="n"/>
      <c r="F23" s="38" t="n"/>
      <c r="G23" s="38" t="n"/>
      <c r="H23" s="38" t="n"/>
      <c r="I23" s="38" t="n"/>
      <c r="J23" s="38" t="n"/>
      <c r="K23" s="38" t="n"/>
      <c r="L23" s="38" t="n"/>
      <c r="M23" s="38" t="n"/>
      <c r="N23" s="38" t="n"/>
      <c r="O23" s="38" t="n"/>
    </row>
    <row r="24" ht="22" customHeight="1">
      <c r="A24" s="47" t="inlineStr">
        <is>
          <t>STEP 4 — COSMIC Data Movement Counting</t>
        </is>
      </c>
      <c r="K24" s="38" t="n"/>
      <c r="L24" s="38" t="n"/>
      <c r="M24" s="38" t="n"/>
      <c r="N24" s="38" t="n"/>
      <c r="O24" s="38" t="n"/>
    </row>
    <row r="25" ht="40" customHeight="1">
      <c r="A25" s="38" t="n"/>
      <c r="B25" s="48" t="inlineStr">
        <is>
          <t>Identify Functional Processes first</t>
        </is>
      </c>
      <c r="D25" s="42" t="inlineStr">
        <is>
          <t>Each distinct user goal = one functional process. Example: 'Place Order', 'View Dashboard', 'Send Notification' are separate functional processes.</t>
        </is>
      </c>
      <c r="K25" s="38" t="n"/>
      <c r="L25" s="38" t="n"/>
      <c r="M25" s="38" t="n"/>
      <c r="N25" s="38" t="n"/>
      <c r="O25" s="38" t="n"/>
    </row>
    <row r="26" ht="40" customHeight="1">
      <c r="A26" s="38" t="n"/>
      <c r="B26" s="48" t="inlineStr">
        <is>
          <t>Entry (E) data movements</t>
        </is>
      </c>
      <c r="D26" s="42" t="inlineStr">
        <is>
          <t>Data crossing the boundary FROM a functional user INTO the process. Typically 1 Entry per functional process (the triggering input). Count 1 CFP.</t>
        </is>
      </c>
      <c r="K26" s="38" t="n"/>
      <c r="L26" s="38" t="n"/>
      <c r="M26" s="38" t="n"/>
      <c r="N26" s="38" t="n"/>
      <c r="O26" s="38" t="n"/>
    </row>
    <row r="27" ht="40" customHeight="1">
      <c r="A27" s="38" t="n"/>
      <c r="B27" s="48" t="inlineStr">
        <is>
          <t>Exit (X) data movements</t>
        </is>
      </c>
      <c r="D27" s="42" t="inlineStr">
        <is>
          <t>Data crossing the boundary FROM the process TO a functional user (output/response). Count each distinct output. Notification + response = 2 Exits. Count 1 CFP each.</t>
        </is>
      </c>
      <c r="K27" s="38" t="n"/>
      <c r="L27" s="38" t="n"/>
      <c r="M27" s="38" t="n"/>
      <c r="N27" s="38" t="n"/>
      <c r="O27" s="38" t="n"/>
    </row>
    <row r="28" ht="40" customHeight="1">
      <c r="A28" s="38" t="n"/>
      <c r="B28" s="48" t="inlineStr">
        <is>
          <t>Read (R) data movements</t>
        </is>
      </c>
      <c r="D28" s="42" t="inlineStr">
        <is>
          <t>Data retrieved FROM a persistent storage (database/file) DURING the process. Each distinct data group read = 1 Read = 1 CFP. Reading Customer + Product = 2 Reads.</t>
        </is>
      </c>
      <c r="K28" s="38" t="n"/>
      <c r="L28" s="38" t="n"/>
      <c r="M28" s="38" t="n"/>
      <c r="N28" s="38" t="n"/>
      <c r="O28" s="38" t="n"/>
    </row>
    <row r="29" ht="40" customHeight="1">
      <c r="A29" s="38" t="n"/>
      <c r="B29" s="48" t="inlineStr">
        <is>
          <t>Write (W) data movements</t>
        </is>
      </c>
      <c r="D29" s="42" t="inlineStr">
        <is>
          <t>Data written TO a persistent storage during the process (insert/update/delete). Each distinct data group written = 1 Write = 1 CFP. Order + Audit log = 2 Writes.</t>
        </is>
      </c>
      <c r="K29" s="38" t="n"/>
      <c r="L29" s="38" t="n"/>
      <c r="M29" s="38" t="n"/>
      <c r="N29" s="38" t="n"/>
      <c r="O29" s="38" t="n"/>
    </row>
    <row r="30">
      <c r="A30" s="38" t="n"/>
      <c r="B30" s="38" t="n"/>
      <c r="C30" s="38" t="n"/>
      <c r="D30" s="38" t="n"/>
      <c r="E30" s="38" t="n"/>
      <c r="F30" s="38" t="n"/>
      <c r="G30" s="38" t="n"/>
      <c r="H30" s="38" t="n"/>
      <c r="I30" s="38" t="n"/>
      <c r="J30" s="38" t="n"/>
      <c r="K30" s="38" t="n"/>
      <c r="L30" s="38" t="n"/>
      <c r="M30" s="38" t="n"/>
      <c r="N30" s="38" t="n"/>
      <c r="O30" s="38" t="n"/>
    </row>
    <row r="31" ht="22" customHeight="1">
      <c r="A31" s="49" t="inlineStr">
        <is>
          <t>STEP 5 — Enter Data in Estimator Sheet</t>
        </is>
      </c>
      <c r="K31" s="38" t="n"/>
      <c r="L31" s="38" t="n"/>
      <c r="M31" s="38" t="n"/>
      <c r="N31" s="38" t="n"/>
      <c r="O31" s="38" t="n"/>
    </row>
    <row r="32" ht="40" customHeight="1">
      <c r="A32" s="38" t="n"/>
      <c r="B32" s="50" t="inlineStr">
        <is>
          <t>Select your project type</t>
        </is>
      </c>
      <c r="D32" s="42" t="inlineStr">
        <is>
          <t>Choose from the dropdown in the Estimator sheet. This auto-populates the relevant productivity benchmark (hrs/FP) from the Benchmarks sheet for your industry and technology.</t>
        </is>
      </c>
      <c r="K32" s="38" t="n"/>
      <c r="L32" s="38" t="n"/>
      <c r="M32" s="38" t="n"/>
      <c r="N32" s="38" t="n"/>
      <c r="O32" s="38" t="n"/>
    </row>
    <row r="33" ht="40" customHeight="1">
      <c r="A33" s="38" t="n"/>
      <c r="B33" s="50" t="inlineStr">
        <is>
          <t>Fill in function counts</t>
        </is>
      </c>
      <c r="D33" s="42" t="inlineStr">
        <is>
          <t>Enter the COUNT of each function type (EI, EO, EQ, ILF, EIF for IFPUG/SFP). For COSMIC, enter data movement counts per process. Color-coded: Blue = input cells.</t>
        </is>
      </c>
      <c r="K33" s="38" t="n"/>
      <c r="L33" s="38" t="n"/>
      <c r="M33" s="38" t="n"/>
      <c r="N33" s="38" t="n"/>
      <c r="O33" s="38" t="n"/>
    </row>
    <row r="34" ht="40" customHeight="1">
      <c r="A34" s="38" t="n"/>
      <c r="B34" s="50" t="inlineStr">
        <is>
          <t>Review outputs</t>
        </is>
      </c>
      <c r="D34" s="42" t="inlineStr">
        <is>
          <t>The tool auto-calculates: Total FP size, Estimated effort (person-hours), Person-months, Indicative cost range, and Gartner benchmark comparison.</t>
        </is>
      </c>
      <c r="K34" s="38" t="n"/>
      <c r="L34" s="38" t="n"/>
      <c r="M34" s="38" t="n"/>
      <c r="N34" s="38" t="n"/>
      <c r="O34" s="38" t="n"/>
    </row>
    <row r="35" ht="40" customHeight="1">
      <c r="A35" s="38" t="n"/>
      <c r="B35" s="50" t="inlineStr">
        <is>
          <t>Adjust productivity rate if needed</t>
        </is>
      </c>
      <c r="D35" s="42" t="inlineStr">
        <is>
          <t>Override the benchmark productivity rate in the yellow cells if you have historical calibration data from your organization. Always prefer calibrated rates over benchmarks.</t>
        </is>
      </c>
      <c r="K35" s="38" t="n"/>
      <c r="L35" s="38" t="n"/>
      <c r="M35" s="38" t="n"/>
      <c r="N35" s="38" t="n"/>
      <c r="O35" s="38" t="n"/>
    </row>
    <row r="36">
      <c r="A36" s="38" t="n"/>
      <c r="B36" s="38" t="n"/>
      <c r="C36" s="38" t="n"/>
      <c r="D36" s="38" t="n"/>
      <c r="E36" s="38" t="n"/>
      <c r="F36" s="38" t="n"/>
      <c r="G36" s="38" t="n"/>
      <c r="H36" s="38" t="n"/>
      <c r="I36" s="38" t="n"/>
      <c r="J36" s="38" t="n"/>
      <c r="K36" s="38" t="n"/>
      <c r="L36" s="38" t="n"/>
      <c r="M36" s="38" t="n"/>
      <c r="N36" s="38" t="n"/>
      <c r="O36" s="38" t="n"/>
    </row>
    <row r="37" ht="22" customHeight="1">
      <c r="A37" s="51" t="inlineStr">
        <is>
          <t>QUICK REFERENCE — FP Weights &amp; Formulas</t>
        </is>
      </c>
      <c r="K37" s="38" t="n"/>
      <c r="L37" s="38" t="n"/>
      <c r="M37" s="38" t="n"/>
      <c r="N37" s="38" t="n"/>
      <c r="O37" s="38" t="n"/>
    </row>
    <row r="38">
      <c r="A38" s="38" t="n"/>
      <c r="B38" s="52" t="inlineStr">
        <is>
          <t>Method</t>
        </is>
      </c>
      <c r="C38" s="52" t="inlineStr">
        <is>
          <t>Component</t>
        </is>
      </c>
      <c r="D38" s="52" t="inlineStr">
        <is>
          <t>Weight/Rule</t>
        </is>
      </c>
      <c r="E38" s="52" t="inlineStr">
        <is>
          <t>Formula</t>
        </is>
      </c>
      <c r="F38" s="52" t="inlineStr">
        <is>
          <t>Notes</t>
        </is>
      </c>
      <c r="G38" s="38" t="n"/>
      <c r="H38" s="38" t="n"/>
      <c r="I38" s="38" t="n"/>
      <c r="J38" s="38" t="n"/>
      <c r="K38" s="38" t="n"/>
      <c r="L38" s="38" t="n"/>
      <c r="M38" s="38" t="n"/>
      <c r="N38" s="38" t="n"/>
      <c r="O38" s="38" t="n"/>
    </row>
    <row r="39">
      <c r="A39" s="38" t="n"/>
      <c r="B39" s="53" t="inlineStr">
        <is>
          <t>SFP</t>
        </is>
      </c>
      <c r="C39" s="54" t="inlineStr">
        <is>
          <t>External Input (EI)</t>
        </is>
      </c>
      <c r="D39" s="53" t="inlineStr">
        <is>
          <t>4 FP (flat)</t>
        </is>
      </c>
      <c r="E39" s="54" t="inlineStr">
        <is>
          <t>Total SFP = Σ(count × weight)</t>
        </is>
      </c>
      <c r="F39" s="54" t="inlineStr">
        <is>
          <t>No complexity rating needed</t>
        </is>
      </c>
      <c r="G39" s="38" t="n"/>
      <c r="H39" s="38" t="n"/>
      <c r="I39" s="38" t="n"/>
      <c r="J39" s="38" t="n"/>
      <c r="K39" s="38" t="n"/>
      <c r="L39" s="38" t="n"/>
      <c r="M39" s="38" t="n"/>
      <c r="N39" s="38" t="n"/>
      <c r="O39" s="38" t="n"/>
    </row>
    <row r="40">
      <c r="A40" s="38" t="n"/>
      <c r="B40" s="55" t="inlineStr">
        <is>
          <t>SFP</t>
        </is>
      </c>
      <c r="C40" s="56" t="inlineStr">
        <is>
          <t>External Output (EO)</t>
        </is>
      </c>
      <c r="D40" s="55" t="inlineStr">
        <is>
          <t>5 FP (flat)</t>
        </is>
      </c>
      <c r="E40" s="56" t="inlineStr"/>
      <c r="F40" s="56" t="inlineStr"/>
      <c r="G40" s="38" t="n"/>
      <c r="H40" s="38" t="n"/>
      <c r="I40" s="38" t="n"/>
      <c r="J40" s="38" t="n"/>
      <c r="K40" s="38" t="n"/>
      <c r="L40" s="38" t="n"/>
      <c r="M40" s="38" t="n"/>
      <c r="N40" s="38" t="n"/>
      <c r="O40" s="38" t="n"/>
    </row>
    <row r="41">
      <c r="A41" s="38" t="n"/>
      <c r="B41" s="53" t="inlineStr">
        <is>
          <t>SFP</t>
        </is>
      </c>
      <c r="C41" s="54" t="inlineStr">
        <is>
          <t>External Inquiry (EQ)</t>
        </is>
      </c>
      <c r="D41" s="53" t="inlineStr">
        <is>
          <t>4 FP (flat)</t>
        </is>
      </c>
      <c r="E41" s="54" t="inlineStr"/>
      <c r="F41" s="54" t="inlineStr"/>
      <c r="G41" s="38" t="n"/>
      <c r="H41" s="38" t="n"/>
      <c r="I41" s="38" t="n"/>
      <c r="J41" s="38" t="n"/>
      <c r="K41" s="38" t="n"/>
      <c r="L41" s="38" t="n"/>
      <c r="M41" s="38" t="n"/>
      <c r="N41" s="38" t="n"/>
      <c r="O41" s="38" t="n"/>
    </row>
    <row r="42">
      <c r="A42" s="38" t="n"/>
      <c r="B42" s="55" t="inlineStr">
        <is>
          <t>SFP</t>
        </is>
      </c>
      <c r="C42" s="56" t="inlineStr">
        <is>
          <t>Internal Logical File (ILF)</t>
        </is>
      </c>
      <c r="D42" s="55" t="inlineStr">
        <is>
          <t>7 FP (flat)</t>
        </is>
      </c>
      <c r="E42" s="56" t="inlineStr"/>
      <c r="F42" s="56" t="inlineStr"/>
      <c r="G42" s="38" t="n"/>
      <c r="H42" s="38" t="n"/>
      <c r="I42" s="38" t="n"/>
      <c r="J42" s="38" t="n"/>
      <c r="K42" s="38" t="n"/>
      <c r="L42" s="38" t="n"/>
      <c r="M42" s="38" t="n"/>
      <c r="N42" s="38" t="n"/>
      <c r="O42" s="38" t="n"/>
    </row>
    <row r="43">
      <c r="A43" s="38" t="n"/>
      <c r="B43" s="53" t="inlineStr">
        <is>
          <t>SFP</t>
        </is>
      </c>
      <c r="C43" s="54" t="inlineStr">
        <is>
          <t>External Interface File (EIF)</t>
        </is>
      </c>
      <c r="D43" s="53" t="inlineStr">
        <is>
          <t>5 FP (flat)</t>
        </is>
      </c>
      <c r="E43" s="54" t="inlineStr"/>
      <c r="F43" s="54" t="inlineStr"/>
      <c r="G43" s="38" t="n"/>
      <c r="H43" s="38" t="n"/>
      <c r="I43" s="38" t="n"/>
      <c r="J43" s="38" t="n"/>
      <c r="K43" s="38" t="n"/>
      <c r="L43" s="38" t="n"/>
      <c r="M43" s="38" t="n"/>
      <c r="N43" s="38" t="n"/>
      <c r="O43" s="38" t="n"/>
    </row>
    <row r="44">
      <c r="A44" s="38" t="n"/>
      <c r="B44" s="55" t="inlineStr">
        <is>
          <t>COSMIC</t>
        </is>
      </c>
      <c r="C44" s="56" t="inlineStr">
        <is>
          <t>Entry (E)</t>
        </is>
      </c>
      <c r="D44" s="55" t="inlineStr">
        <is>
          <t>1 CFP each</t>
        </is>
      </c>
      <c r="E44" s="56" t="inlineStr">
        <is>
          <t>Total CFP = Σ all movements</t>
        </is>
      </c>
      <c r="F44" s="56" t="inlineStr">
        <is>
          <t>Each data movement = 1 CFP</t>
        </is>
      </c>
      <c r="G44" s="38" t="n"/>
      <c r="H44" s="38" t="n"/>
      <c r="I44" s="38" t="n"/>
      <c r="J44" s="38" t="n"/>
      <c r="K44" s="38" t="n"/>
      <c r="L44" s="38" t="n"/>
      <c r="M44" s="38" t="n"/>
      <c r="N44" s="38" t="n"/>
      <c r="O44" s="38" t="n"/>
    </row>
    <row r="45">
      <c r="A45" s="38" t="n"/>
      <c r="B45" s="53" t="inlineStr">
        <is>
          <t>COSMIC</t>
        </is>
      </c>
      <c r="C45" s="54" t="inlineStr">
        <is>
          <t>Exit (X)</t>
        </is>
      </c>
      <c r="D45" s="53" t="inlineStr">
        <is>
          <t>1 CFP each</t>
        </is>
      </c>
      <c r="E45" s="54" t="inlineStr"/>
      <c r="F45" s="54" t="inlineStr"/>
      <c r="G45" s="38" t="n"/>
      <c r="H45" s="38" t="n"/>
      <c r="I45" s="38" t="n"/>
      <c r="J45" s="38" t="n"/>
      <c r="K45" s="38" t="n"/>
      <c r="L45" s="38" t="n"/>
      <c r="M45" s="38" t="n"/>
      <c r="N45" s="38" t="n"/>
      <c r="O45" s="38" t="n"/>
    </row>
    <row r="46">
      <c r="A46" s="38" t="n"/>
      <c r="B46" s="55" t="inlineStr">
        <is>
          <t>COSMIC</t>
        </is>
      </c>
      <c r="C46" s="56" t="inlineStr">
        <is>
          <t>Read (R)</t>
        </is>
      </c>
      <c r="D46" s="55" t="inlineStr">
        <is>
          <t>1 CFP each</t>
        </is>
      </c>
      <c r="E46" s="56" t="inlineStr"/>
      <c r="F46" s="56" t="inlineStr"/>
      <c r="G46" s="38" t="n"/>
      <c r="H46" s="38" t="n"/>
      <c r="I46" s="38" t="n"/>
      <c r="J46" s="38" t="n"/>
      <c r="K46" s="38" t="n"/>
      <c r="L46" s="38" t="n"/>
      <c r="M46" s="38" t="n"/>
      <c r="N46" s="38" t="n"/>
      <c r="O46" s="38" t="n"/>
    </row>
    <row r="47">
      <c r="A47" s="38" t="n"/>
      <c r="B47" s="53" t="inlineStr">
        <is>
          <t>COSMIC</t>
        </is>
      </c>
      <c r="C47" s="54" t="inlineStr">
        <is>
          <t>Write (W)</t>
        </is>
      </c>
      <c r="D47" s="53" t="inlineStr">
        <is>
          <t>1 CFP each</t>
        </is>
      </c>
      <c r="E47" s="54" t="inlineStr"/>
      <c r="F47" s="54" t="inlineStr"/>
      <c r="G47" s="38" t="n"/>
      <c r="H47" s="38" t="n"/>
      <c r="I47" s="38" t="n"/>
      <c r="J47" s="38" t="n"/>
      <c r="K47" s="38" t="n"/>
      <c r="L47" s="38" t="n"/>
      <c r="M47" s="38" t="n"/>
      <c r="N47" s="38" t="n"/>
      <c r="O47" s="38" t="n"/>
    </row>
    <row r="48">
      <c r="A48" s="38" t="n"/>
      <c r="B48" s="55" t="inlineStr">
        <is>
          <t>IFPUG</t>
        </is>
      </c>
      <c r="C48" s="56" t="inlineStr">
        <is>
          <t>EI Low/Avg/High</t>
        </is>
      </c>
      <c r="D48" s="55" t="inlineStr">
        <is>
          <t>3 / 4 / 6 UFP</t>
        </is>
      </c>
      <c r="E48" s="56" t="inlineStr">
        <is>
          <t>UFP = Σ(count × complexity weight)</t>
        </is>
      </c>
      <c r="F48" s="56" t="inlineStr">
        <is>
          <t>Optional VAF = 0.65 + 0.01×ΣGSC</t>
        </is>
      </c>
      <c r="G48" s="38" t="n"/>
      <c r="H48" s="38" t="n"/>
      <c r="I48" s="38" t="n"/>
      <c r="J48" s="38" t="n"/>
      <c r="K48" s="38" t="n"/>
      <c r="L48" s="38" t="n"/>
      <c r="M48" s="38" t="n"/>
      <c r="N48" s="38" t="n"/>
      <c r="O48" s="38" t="n"/>
    </row>
    <row r="49">
      <c r="A49" s="38" t="n"/>
      <c r="B49" s="53" t="inlineStr">
        <is>
          <t>IFPUG</t>
        </is>
      </c>
      <c r="C49" s="54" t="inlineStr">
        <is>
          <t>EO Low/Avg/High</t>
        </is>
      </c>
      <c r="D49" s="53" t="inlineStr">
        <is>
          <t>4 / 5 / 7 UFP</t>
        </is>
      </c>
      <c r="E49" s="54" t="inlineStr">
        <is>
          <t>Adj FP = UFP × VAF</t>
        </is>
      </c>
      <c r="F49" s="54" t="inlineStr">
        <is>
          <t>Most practitioners skip VAF</t>
        </is>
      </c>
      <c r="G49" s="38" t="n"/>
      <c r="H49" s="38" t="n"/>
      <c r="I49" s="38" t="n"/>
      <c r="J49" s="38" t="n"/>
      <c r="K49" s="38" t="n"/>
      <c r="L49" s="38" t="n"/>
      <c r="M49" s="38" t="n"/>
      <c r="N49" s="38" t="n"/>
      <c r="O49" s="38" t="n"/>
    </row>
    <row r="50">
      <c r="A50" s="38" t="n"/>
      <c r="B50" s="55" t="inlineStr">
        <is>
          <t>IFPUG</t>
        </is>
      </c>
      <c r="C50" s="56" t="inlineStr">
        <is>
          <t>EQ Low/Avg/High</t>
        </is>
      </c>
      <c r="D50" s="55" t="inlineStr">
        <is>
          <t>3 / 4 / 6 UFP</t>
        </is>
      </c>
      <c r="E50" s="56" t="inlineStr"/>
      <c r="F50" s="56" t="inlineStr"/>
      <c r="G50" s="38" t="n"/>
      <c r="H50" s="38" t="n"/>
      <c r="I50" s="38" t="n"/>
      <c r="J50" s="38" t="n"/>
      <c r="K50" s="38" t="n"/>
      <c r="L50" s="38" t="n"/>
      <c r="M50" s="38" t="n"/>
      <c r="N50" s="38" t="n"/>
      <c r="O50" s="38" t="n"/>
    </row>
    <row r="51">
      <c r="A51" s="38" t="n"/>
      <c r="B51" s="53" t="inlineStr">
        <is>
          <t>IFPUG</t>
        </is>
      </c>
      <c r="C51" s="54" t="inlineStr">
        <is>
          <t>ILF Low/Avg/High</t>
        </is>
      </c>
      <c r="D51" s="53" t="inlineStr">
        <is>
          <t>7 / 10 / 15 UFP</t>
        </is>
      </c>
      <c r="E51" s="54" t="inlineStr"/>
      <c r="F51" s="54" t="inlineStr"/>
      <c r="G51" s="38" t="n"/>
      <c r="H51" s="38" t="n"/>
      <c r="I51" s="38" t="n"/>
      <c r="J51" s="38" t="n"/>
      <c r="K51" s="38" t="n"/>
      <c r="L51" s="38" t="n"/>
      <c r="M51" s="38" t="n"/>
      <c r="N51" s="38" t="n"/>
      <c r="O51" s="38" t="n"/>
    </row>
    <row r="52">
      <c r="A52" s="38" t="n"/>
      <c r="B52" s="55" t="inlineStr">
        <is>
          <t>IFPUG</t>
        </is>
      </c>
      <c r="C52" s="56" t="inlineStr">
        <is>
          <t>EIF Low/Avg/High</t>
        </is>
      </c>
      <c r="D52" s="55" t="inlineStr">
        <is>
          <t>5 / 7 / 10 UFP</t>
        </is>
      </c>
      <c r="E52" s="56" t="inlineStr"/>
      <c r="F52" s="56" t="inlineStr"/>
      <c r="G52" s="38" t="n"/>
      <c r="H52" s="38" t="n"/>
      <c r="I52" s="38" t="n"/>
      <c r="J52" s="38" t="n"/>
      <c r="K52" s="38" t="n"/>
      <c r="L52" s="38" t="n"/>
      <c r="M52" s="38" t="n"/>
      <c r="N52" s="38" t="n"/>
      <c r="O52" s="38" t="n"/>
    </row>
    <row r="53">
      <c r="A53" s="38" t="n"/>
      <c r="B53" s="38" t="n"/>
      <c r="C53" s="38" t="n"/>
      <c r="D53" s="38" t="n"/>
      <c r="E53" s="38" t="n"/>
      <c r="F53" s="38" t="n"/>
      <c r="G53" s="38" t="n"/>
      <c r="H53" s="38" t="n"/>
      <c r="I53" s="38" t="n"/>
      <c r="J53" s="38" t="n"/>
      <c r="K53" s="38" t="n"/>
      <c r="L53" s="38" t="n"/>
      <c r="M53" s="38" t="n"/>
      <c r="N53" s="38" t="n"/>
      <c r="O53" s="38" t="n"/>
    </row>
    <row r="54">
      <c r="A54" s="38" t="n"/>
      <c r="B54" s="38" t="n"/>
      <c r="C54" s="38" t="n"/>
      <c r="D54" s="38" t="n"/>
      <c r="E54" s="38" t="n"/>
      <c r="F54" s="38" t="n"/>
      <c r="G54" s="38" t="n"/>
      <c r="H54" s="38" t="n"/>
      <c r="I54" s="38" t="n"/>
      <c r="J54" s="38" t="n"/>
      <c r="K54" s="38" t="n"/>
      <c r="L54" s="38" t="n"/>
      <c r="M54" s="38" t="n"/>
      <c r="N54" s="38" t="n"/>
      <c r="O54" s="38" t="n"/>
    </row>
    <row r="55">
      <c r="A55" s="38" t="n"/>
      <c r="B55" s="38" t="n"/>
      <c r="C55" s="38" t="n"/>
      <c r="D55" s="38" t="n"/>
      <c r="E55" s="38" t="n"/>
      <c r="F55" s="38" t="n"/>
      <c r="G55" s="38" t="n"/>
      <c r="H55" s="38" t="n"/>
      <c r="I55" s="38" t="n"/>
      <c r="J55" s="38" t="n"/>
      <c r="K55" s="38" t="n"/>
      <c r="L55" s="38" t="n"/>
      <c r="M55" s="38" t="n"/>
      <c r="N55" s="38" t="n"/>
      <c r="O55" s="38" t="n"/>
    </row>
    <row r="56">
      <c r="A56" s="38" t="n"/>
      <c r="B56" s="38" t="n"/>
      <c r="C56" s="38" t="n"/>
      <c r="D56" s="38" t="n"/>
      <c r="E56" s="38" t="n"/>
      <c r="F56" s="38" t="n"/>
      <c r="G56" s="38" t="n"/>
      <c r="H56" s="38" t="n"/>
      <c r="I56" s="38" t="n"/>
      <c r="J56" s="38" t="n"/>
      <c r="K56" s="38" t="n"/>
      <c r="L56" s="38" t="n"/>
      <c r="M56" s="38" t="n"/>
      <c r="N56" s="38" t="n"/>
      <c r="O56" s="38" t="n"/>
    </row>
    <row r="57">
      <c r="A57" s="38" t="n"/>
      <c r="B57" s="38" t="n"/>
      <c r="C57" s="38" t="n"/>
      <c r="D57" s="38" t="n"/>
      <c r="E57" s="38" t="n"/>
      <c r="F57" s="38" t="n"/>
      <c r="G57" s="38" t="n"/>
      <c r="H57" s="38" t="n"/>
      <c r="I57" s="38" t="n"/>
      <c r="J57" s="38" t="n"/>
      <c r="K57" s="38" t="n"/>
      <c r="L57" s="38" t="n"/>
      <c r="M57" s="38" t="n"/>
      <c r="N57" s="38" t="n"/>
      <c r="O57" s="38" t="n"/>
    </row>
    <row r="58">
      <c r="A58" s="38" t="n"/>
      <c r="B58" s="38" t="n"/>
      <c r="C58" s="38" t="n"/>
      <c r="D58" s="38" t="n"/>
      <c r="E58" s="38" t="n"/>
      <c r="F58" s="38" t="n"/>
      <c r="G58" s="38" t="n"/>
      <c r="H58" s="38" t="n"/>
      <c r="I58" s="38" t="n"/>
      <c r="J58" s="38" t="n"/>
      <c r="K58" s="38" t="n"/>
      <c r="L58" s="38" t="n"/>
      <c r="M58" s="38" t="n"/>
      <c r="N58" s="38" t="n"/>
      <c r="O58" s="38" t="n"/>
    </row>
    <row r="59">
      <c r="A59" s="38" t="n"/>
      <c r="B59" s="38" t="n"/>
      <c r="C59" s="38" t="n"/>
      <c r="D59" s="38" t="n"/>
      <c r="E59" s="38" t="n"/>
      <c r="F59" s="38" t="n"/>
      <c r="G59" s="38" t="n"/>
      <c r="H59" s="38" t="n"/>
      <c r="I59" s="38" t="n"/>
      <c r="J59" s="38" t="n"/>
      <c r="K59" s="38" t="n"/>
      <c r="L59" s="38" t="n"/>
      <c r="M59" s="38" t="n"/>
      <c r="N59" s="38" t="n"/>
      <c r="O59" s="38" t="n"/>
    </row>
    <row r="60">
      <c r="A60" s="38" t="n"/>
      <c r="B60" s="38" t="n"/>
      <c r="C60" s="38" t="n"/>
      <c r="D60" s="38" t="n"/>
      <c r="E60" s="38" t="n"/>
      <c r="F60" s="38" t="n"/>
      <c r="G60" s="38" t="n"/>
      <c r="H60" s="38" t="n"/>
      <c r="I60" s="38" t="n"/>
      <c r="J60" s="38" t="n"/>
      <c r="K60" s="38" t="n"/>
      <c r="L60" s="38" t="n"/>
      <c r="M60" s="38" t="n"/>
      <c r="N60" s="38" t="n"/>
      <c r="O60" s="38" t="n"/>
    </row>
    <row r="61">
      <c r="A61" s="38" t="n"/>
      <c r="B61" s="38" t="n"/>
      <c r="C61" s="38" t="n"/>
      <c r="D61" s="38" t="n"/>
      <c r="E61" s="38" t="n"/>
      <c r="F61" s="38" t="n"/>
      <c r="G61" s="38" t="n"/>
      <c r="H61" s="38" t="n"/>
      <c r="I61" s="38" t="n"/>
      <c r="J61" s="38" t="n"/>
      <c r="K61" s="38" t="n"/>
      <c r="L61" s="38" t="n"/>
      <c r="M61" s="38" t="n"/>
      <c r="N61" s="38" t="n"/>
      <c r="O61" s="38" t="n"/>
    </row>
    <row r="62">
      <c r="A62" s="38" t="n"/>
      <c r="B62" s="38" t="n"/>
      <c r="C62" s="38" t="n"/>
      <c r="D62" s="38" t="n"/>
      <c r="E62" s="38" t="n"/>
      <c r="F62" s="38" t="n"/>
      <c r="G62" s="38" t="n"/>
      <c r="H62" s="38" t="n"/>
      <c r="I62" s="38" t="n"/>
      <c r="J62" s="38" t="n"/>
      <c r="K62" s="38" t="n"/>
      <c r="L62" s="38" t="n"/>
      <c r="M62" s="38" t="n"/>
      <c r="N62" s="38" t="n"/>
      <c r="O62" s="38" t="n"/>
    </row>
    <row r="63">
      <c r="A63" s="38" t="n"/>
      <c r="B63" s="38" t="n"/>
      <c r="C63" s="38" t="n"/>
      <c r="D63" s="38" t="n"/>
      <c r="E63" s="38" t="n"/>
      <c r="F63" s="38" t="n"/>
      <c r="G63" s="38" t="n"/>
      <c r="H63" s="38" t="n"/>
      <c r="I63" s="38" t="n"/>
      <c r="J63" s="38" t="n"/>
      <c r="K63" s="38" t="n"/>
      <c r="L63" s="38" t="n"/>
      <c r="M63" s="38" t="n"/>
      <c r="N63" s="38" t="n"/>
      <c r="O63" s="38" t="n"/>
    </row>
    <row r="64">
      <c r="A64" s="38" t="n"/>
      <c r="B64" s="38" t="n"/>
      <c r="C64" s="38" t="n"/>
      <c r="D64" s="38" t="n"/>
      <c r="E64" s="38" t="n"/>
      <c r="F64" s="38" t="n"/>
      <c r="G64" s="38" t="n"/>
      <c r="H64" s="38" t="n"/>
      <c r="I64" s="38" t="n"/>
      <c r="J64" s="38" t="n"/>
      <c r="K64" s="38" t="n"/>
      <c r="L64" s="38" t="n"/>
      <c r="M64" s="38" t="n"/>
      <c r="N64" s="38" t="n"/>
      <c r="O64" s="38" t="n"/>
    </row>
    <row r="65">
      <c r="A65" s="38" t="n"/>
      <c r="B65" s="38" t="n"/>
      <c r="C65" s="38" t="n"/>
      <c r="D65" s="38" t="n"/>
      <c r="E65" s="38" t="n"/>
      <c r="F65" s="38" t="n"/>
      <c r="G65" s="38" t="n"/>
      <c r="H65" s="38" t="n"/>
      <c r="I65" s="38" t="n"/>
      <c r="J65" s="38" t="n"/>
      <c r="K65" s="38" t="n"/>
      <c r="L65" s="38" t="n"/>
      <c r="M65" s="38" t="n"/>
      <c r="N65" s="38" t="n"/>
      <c r="O65" s="38" t="n"/>
    </row>
    <row r="66">
      <c r="A66" s="38" t="n"/>
      <c r="B66" s="38" t="n"/>
      <c r="C66" s="38" t="n"/>
      <c r="D66" s="38" t="n"/>
      <c r="E66" s="38" t="n"/>
      <c r="F66" s="38" t="n"/>
      <c r="G66" s="38" t="n"/>
      <c r="H66" s="38" t="n"/>
      <c r="I66" s="38" t="n"/>
      <c r="J66" s="38" t="n"/>
      <c r="K66" s="38" t="n"/>
      <c r="L66" s="38" t="n"/>
      <c r="M66" s="38" t="n"/>
      <c r="N66" s="38" t="n"/>
      <c r="O66" s="38" t="n"/>
    </row>
    <row r="67">
      <c r="A67" s="38" t="n"/>
      <c r="B67" s="38" t="n"/>
      <c r="C67" s="38" t="n"/>
      <c r="D67" s="38" t="n"/>
      <c r="E67" s="38" t="n"/>
      <c r="F67" s="38" t="n"/>
      <c r="G67" s="38" t="n"/>
      <c r="H67" s="38" t="n"/>
      <c r="I67" s="38" t="n"/>
      <c r="J67" s="38" t="n"/>
      <c r="K67" s="38" t="n"/>
      <c r="L67" s="38" t="n"/>
      <c r="M67" s="38" t="n"/>
      <c r="N67" s="38" t="n"/>
      <c r="O67" s="38" t="n"/>
    </row>
    <row r="68">
      <c r="A68" s="38" t="n"/>
      <c r="B68" s="38" t="n"/>
      <c r="C68" s="38" t="n"/>
      <c r="D68" s="38" t="n"/>
      <c r="E68" s="38" t="n"/>
      <c r="F68" s="38" t="n"/>
      <c r="G68" s="38" t="n"/>
      <c r="H68" s="38" t="n"/>
      <c r="I68" s="38" t="n"/>
      <c r="J68" s="38" t="n"/>
      <c r="K68" s="38" t="n"/>
      <c r="L68" s="38" t="n"/>
      <c r="M68" s="38" t="n"/>
      <c r="N68" s="38" t="n"/>
      <c r="O68" s="38" t="n"/>
    </row>
    <row r="69">
      <c r="A69" s="38" t="n"/>
      <c r="B69" s="38" t="n"/>
      <c r="C69" s="38" t="n"/>
      <c r="D69" s="38" t="n"/>
      <c r="E69" s="38" t="n"/>
      <c r="F69" s="38" t="n"/>
      <c r="G69" s="38" t="n"/>
      <c r="H69" s="38" t="n"/>
      <c r="I69" s="38" t="n"/>
      <c r="J69" s="38" t="n"/>
      <c r="K69" s="38" t="n"/>
      <c r="L69" s="38" t="n"/>
      <c r="M69" s="38" t="n"/>
      <c r="N69" s="38" t="n"/>
      <c r="O69" s="38" t="n"/>
    </row>
    <row r="70">
      <c r="A70" s="38" t="n"/>
      <c r="B70" s="38" t="n"/>
      <c r="C70" s="38" t="n"/>
      <c r="D70" s="38" t="n"/>
      <c r="E70" s="38" t="n"/>
      <c r="F70" s="38" t="n"/>
      <c r="G70" s="38" t="n"/>
      <c r="H70" s="38" t="n"/>
      <c r="I70" s="38" t="n"/>
      <c r="J70" s="38" t="n"/>
      <c r="K70" s="38" t="n"/>
      <c r="L70" s="38" t="n"/>
      <c r="M70" s="38" t="n"/>
      <c r="N70" s="38" t="n"/>
      <c r="O70" s="38" t="n"/>
    </row>
    <row r="71">
      <c r="A71" s="38" t="n"/>
      <c r="B71" s="38" t="n"/>
      <c r="C71" s="38" t="n"/>
      <c r="D71" s="38" t="n"/>
      <c r="E71" s="38" t="n"/>
      <c r="F71" s="38" t="n"/>
      <c r="G71" s="38" t="n"/>
      <c r="H71" s="38" t="n"/>
      <c r="I71" s="38" t="n"/>
      <c r="J71" s="38" t="n"/>
      <c r="K71" s="38" t="n"/>
      <c r="L71" s="38" t="n"/>
      <c r="M71" s="38" t="n"/>
      <c r="N71" s="38" t="n"/>
      <c r="O71" s="38" t="n"/>
    </row>
    <row r="72">
      <c r="A72" s="38" t="n"/>
      <c r="B72" s="38" t="n"/>
      <c r="C72" s="38" t="n"/>
      <c r="D72" s="38" t="n"/>
      <c r="E72" s="38" t="n"/>
      <c r="F72" s="38" t="n"/>
      <c r="G72" s="38" t="n"/>
      <c r="H72" s="38" t="n"/>
      <c r="I72" s="38" t="n"/>
      <c r="J72" s="38" t="n"/>
      <c r="K72" s="38" t="n"/>
      <c r="L72" s="38" t="n"/>
      <c r="M72" s="38" t="n"/>
      <c r="N72" s="38" t="n"/>
      <c r="O72" s="38" t="n"/>
    </row>
    <row r="73">
      <c r="A73" s="38" t="n"/>
      <c r="B73" s="38" t="n"/>
      <c r="C73" s="38" t="n"/>
      <c r="D73" s="38" t="n"/>
      <c r="E73" s="38" t="n"/>
      <c r="F73" s="38" t="n"/>
      <c r="G73" s="38" t="n"/>
      <c r="H73" s="38" t="n"/>
      <c r="I73" s="38" t="n"/>
      <c r="J73" s="38" t="n"/>
      <c r="K73" s="38" t="n"/>
      <c r="L73" s="38" t="n"/>
      <c r="M73" s="38" t="n"/>
      <c r="N73" s="38" t="n"/>
      <c r="O73" s="38" t="n"/>
    </row>
    <row r="74">
      <c r="A74" s="38" t="n"/>
      <c r="B74" s="38" t="n"/>
      <c r="C74" s="38" t="n"/>
      <c r="D74" s="38" t="n"/>
      <c r="E74" s="38" t="n"/>
      <c r="F74" s="38" t="n"/>
      <c r="G74" s="38" t="n"/>
      <c r="H74" s="38" t="n"/>
      <c r="I74" s="38" t="n"/>
      <c r="J74" s="38" t="n"/>
      <c r="K74" s="38" t="n"/>
      <c r="L74" s="38" t="n"/>
      <c r="M74" s="38" t="n"/>
      <c r="N74" s="38" t="n"/>
      <c r="O74" s="38" t="n"/>
    </row>
    <row r="75">
      <c r="A75" s="38" t="n"/>
      <c r="B75" s="38" t="n"/>
      <c r="C75" s="38" t="n"/>
      <c r="D75" s="38" t="n"/>
      <c r="E75" s="38" t="n"/>
      <c r="F75" s="38" t="n"/>
      <c r="G75" s="38" t="n"/>
      <c r="H75" s="38" t="n"/>
      <c r="I75" s="38" t="n"/>
      <c r="J75" s="38" t="n"/>
      <c r="K75" s="38" t="n"/>
      <c r="L75" s="38" t="n"/>
      <c r="M75" s="38" t="n"/>
      <c r="N75" s="38" t="n"/>
      <c r="O75" s="38" t="n"/>
    </row>
    <row r="76">
      <c r="A76" s="38" t="n"/>
      <c r="B76" s="38" t="n"/>
      <c r="C76" s="38" t="n"/>
      <c r="D76" s="38" t="n"/>
      <c r="E76" s="38" t="n"/>
      <c r="F76" s="38" t="n"/>
      <c r="G76" s="38" t="n"/>
      <c r="H76" s="38" t="n"/>
      <c r="I76" s="38" t="n"/>
      <c r="J76" s="38" t="n"/>
      <c r="K76" s="38" t="n"/>
      <c r="L76" s="38" t="n"/>
      <c r="M76" s="38" t="n"/>
      <c r="N76" s="38" t="n"/>
      <c r="O76" s="38" t="n"/>
    </row>
    <row r="77">
      <c r="A77" s="38" t="n"/>
      <c r="B77" s="38" t="n"/>
      <c r="C77" s="38" t="n"/>
      <c r="D77" s="38" t="n"/>
      <c r="E77" s="38" t="n"/>
      <c r="F77" s="38" t="n"/>
      <c r="G77" s="38" t="n"/>
      <c r="H77" s="38" t="n"/>
      <c r="I77" s="38" t="n"/>
      <c r="J77" s="38" t="n"/>
      <c r="K77" s="38" t="n"/>
      <c r="L77" s="38" t="n"/>
      <c r="M77" s="38" t="n"/>
      <c r="N77" s="38" t="n"/>
      <c r="O77" s="38" t="n"/>
    </row>
    <row r="78">
      <c r="A78" s="38" t="n"/>
      <c r="B78" s="38" t="n"/>
      <c r="C78" s="38" t="n"/>
      <c r="D78" s="38" t="n"/>
      <c r="E78" s="38" t="n"/>
      <c r="F78" s="38" t="n"/>
      <c r="G78" s="38" t="n"/>
      <c r="H78" s="38" t="n"/>
      <c r="I78" s="38" t="n"/>
      <c r="J78" s="38" t="n"/>
      <c r="K78" s="38" t="n"/>
      <c r="L78" s="38" t="n"/>
      <c r="M78" s="38" t="n"/>
      <c r="N78" s="38" t="n"/>
      <c r="O78" s="38" t="n"/>
    </row>
    <row r="79">
      <c r="A79" s="38" t="n"/>
      <c r="B79" s="38" t="n"/>
      <c r="C79" s="38" t="n"/>
      <c r="D79" s="38" t="n"/>
      <c r="E79" s="38" t="n"/>
      <c r="F79" s="38" t="n"/>
      <c r="G79" s="38" t="n"/>
      <c r="H79" s="38" t="n"/>
      <c r="I79" s="38" t="n"/>
      <c r="J79" s="38" t="n"/>
      <c r="K79" s="38" t="n"/>
      <c r="L79" s="38" t="n"/>
      <c r="M79" s="38" t="n"/>
      <c r="N79" s="38" t="n"/>
      <c r="O79" s="38" t="n"/>
    </row>
    <row r="80">
      <c r="A80" s="38" t="n"/>
      <c r="B80" s="38" t="n"/>
      <c r="C80" s="38" t="n"/>
      <c r="D80" s="38" t="n"/>
      <c r="E80" s="38" t="n"/>
      <c r="F80" s="38" t="n"/>
      <c r="G80" s="38" t="n"/>
      <c r="H80" s="38" t="n"/>
      <c r="I80" s="38" t="n"/>
      <c r="J80" s="38" t="n"/>
      <c r="K80" s="38" t="n"/>
      <c r="L80" s="38" t="n"/>
      <c r="M80" s="38" t="n"/>
      <c r="N80" s="38" t="n"/>
      <c r="O80" s="38" t="n"/>
    </row>
    <row r="81">
      <c r="A81" s="38" t="n"/>
      <c r="B81" s="38" t="n"/>
      <c r="C81" s="38" t="n"/>
      <c r="D81" s="38" t="n"/>
      <c r="E81" s="38" t="n"/>
      <c r="F81" s="38" t="n"/>
      <c r="G81" s="38" t="n"/>
      <c r="H81" s="38" t="n"/>
      <c r="I81" s="38" t="n"/>
      <c r="J81" s="38" t="n"/>
      <c r="K81" s="38" t="n"/>
      <c r="L81" s="38" t="n"/>
      <c r="M81" s="38" t="n"/>
      <c r="N81" s="38" t="n"/>
      <c r="O81" s="38" t="n"/>
    </row>
    <row r="82">
      <c r="A82" s="38" t="n"/>
      <c r="B82" s="38" t="n"/>
      <c r="C82" s="38" t="n"/>
      <c r="D82" s="38" t="n"/>
      <c r="E82" s="38" t="n"/>
      <c r="F82" s="38" t="n"/>
      <c r="G82" s="38" t="n"/>
      <c r="H82" s="38" t="n"/>
      <c r="I82" s="38" t="n"/>
      <c r="J82" s="38" t="n"/>
      <c r="K82" s="38" t="n"/>
      <c r="L82" s="38" t="n"/>
      <c r="M82" s="38" t="n"/>
      <c r="N82" s="38" t="n"/>
      <c r="O82" s="38" t="n"/>
    </row>
    <row r="83">
      <c r="A83" s="38" t="n"/>
      <c r="B83" s="38" t="n"/>
      <c r="C83" s="38" t="n"/>
      <c r="D83" s="38" t="n"/>
      <c r="E83" s="38" t="n"/>
      <c r="F83" s="38" t="n"/>
      <c r="G83" s="38" t="n"/>
      <c r="H83" s="38" t="n"/>
      <c r="I83" s="38" t="n"/>
      <c r="J83" s="38" t="n"/>
      <c r="K83" s="38" t="n"/>
      <c r="L83" s="38" t="n"/>
      <c r="M83" s="38" t="n"/>
      <c r="N83" s="38" t="n"/>
      <c r="O83" s="38" t="n"/>
    </row>
    <row r="84">
      <c r="A84" s="38" t="n"/>
      <c r="B84" s="38" t="n"/>
      <c r="C84" s="38" t="n"/>
      <c r="D84" s="38" t="n"/>
      <c r="E84" s="38" t="n"/>
      <c r="F84" s="38" t="n"/>
      <c r="G84" s="38" t="n"/>
      <c r="H84" s="38" t="n"/>
      <c r="I84" s="38" t="n"/>
      <c r="J84" s="38" t="n"/>
      <c r="K84" s="38" t="n"/>
      <c r="L84" s="38" t="n"/>
      <c r="M84" s="38" t="n"/>
      <c r="N84" s="38" t="n"/>
      <c r="O84" s="38" t="n"/>
    </row>
    <row r="85">
      <c r="A85" s="38" t="n"/>
      <c r="B85" s="38" t="n"/>
      <c r="C85" s="38" t="n"/>
      <c r="D85" s="38" t="n"/>
      <c r="E85" s="38" t="n"/>
      <c r="F85" s="38" t="n"/>
      <c r="G85" s="38" t="n"/>
      <c r="H85" s="38" t="n"/>
      <c r="I85" s="38" t="n"/>
      <c r="J85" s="38" t="n"/>
      <c r="K85" s="38" t="n"/>
      <c r="L85" s="38" t="n"/>
      <c r="M85" s="38" t="n"/>
      <c r="N85" s="38" t="n"/>
      <c r="O85" s="38" t="n"/>
    </row>
    <row r="86">
      <c r="A86" s="38" t="n"/>
      <c r="B86" s="38" t="n"/>
      <c r="C86" s="38" t="n"/>
      <c r="D86" s="38" t="n"/>
      <c r="E86" s="38" t="n"/>
      <c r="F86" s="38" t="n"/>
      <c r="G86" s="38" t="n"/>
      <c r="H86" s="38" t="n"/>
      <c r="I86" s="38" t="n"/>
      <c r="J86" s="38" t="n"/>
      <c r="K86" s="38" t="n"/>
      <c r="L86" s="38" t="n"/>
      <c r="M86" s="38" t="n"/>
      <c r="N86" s="38" t="n"/>
      <c r="O86" s="38" t="n"/>
    </row>
    <row r="87">
      <c r="A87" s="38" t="n"/>
      <c r="B87" s="38" t="n"/>
      <c r="C87" s="38" t="n"/>
      <c r="D87" s="38" t="n"/>
      <c r="E87" s="38" t="n"/>
      <c r="F87" s="38" t="n"/>
      <c r="G87" s="38" t="n"/>
      <c r="H87" s="38" t="n"/>
      <c r="I87" s="38" t="n"/>
      <c r="J87" s="38" t="n"/>
      <c r="K87" s="38" t="n"/>
      <c r="L87" s="38" t="n"/>
      <c r="M87" s="38" t="n"/>
      <c r="N87" s="38" t="n"/>
      <c r="O87" s="38" t="n"/>
    </row>
    <row r="88">
      <c r="A88" s="38" t="n"/>
      <c r="B88" s="38" t="n"/>
      <c r="C88" s="38" t="n"/>
      <c r="D88" s="38" t="n"/>
      <c r="E88" s="38" t="n"/>
      <c r="F88" s="38" t="n"/>
      <c r="G88" s="38" t="n"/>
      <c r="H88" s="38" t="n"/>
      <c r="I88" s="38" t="n"/>
      <c r="J88" s="38" t="n"/>
      <c r="K88" s="38" t="n"/>
      <c r="L88" s="38" t="n"/>
      <c r="M88" s="38" t="n"/>
      <c r="N88" s="38" t="n"/>
      <c r="O88" s="38" t="n"/>
    </row>
    <row r="89">
      <c r="A89" s="38" t="n"/>
      <c r="B89" s="38" t="n"/>
      <c r="C89" s="38" t="n"/>
      <c r="D89" s="38" t="n"/>
      <c r="E89" s="38" t="n"/>
      <c r="F89" s="38" t="n"/>
      <c r="G89" s="38" t="n"/>
      <c r="H89" s="38" t="n"/>
      <c r="I89" s="38" t="n"/>
      <c r="J89" s="38" t="n"/>
      <c r="K89" s="38" t="n"/>
      <c r="L89" s="38" t="n"/>
      <c r="M89" s="38" t="n"/>
      <c r="N89" s="38" t="n"/>
      <c r="O89" s="38" t="n"/>
    </row>
    <row r="90">
      <c r="A90" s="38" t="n"/>
      <c r="B90" s="38" t="n"/>
      <c r="C90" s="38" t="n"/>
      <c r="D90" s="38" t="n"/>
      <c r="E90" s="38" t="n"/>
      <c r="F90" s="38" t="n"/>
      <c r="G90" s="38" t="n"/>
      <c r="H90" s="38" t="n"/>
      <c r="I90" s="38" t="n"/>
      <c r="J90" s="38" t="n"/>
      <c r="K90" s="38" t="n"/>
      <c r="L90" s="38" t="n"/>
      <c r="M90" s="38" t="n"/>
      <c r="N90" s="38" t="n"/>
      <c r="O90" s="38" t="n"/>
    </row>
    <row r="91">
      <c r="A91" s="38" t="n"/>
      <c r="B91" s="38" t="n"/>
      <c r="C91" s="38" t="n"/>
      <c r="D91" s="38" t="n"/>
      <c r="E91" s="38" t="n"/>
      <c r="F91" s="38" t="n"/>
      <c r="G91" s="38" t="n"/>
      <c r="H91" s="38" t="n"/>
      <c r="I91" s="38" t="n"/>
      <c r="J91" s="38" t="n"/>
      <c r="K91" s="38" t="n"/>
      <c r="L91" s="38" t="n"/>
      <c r="M91" s="38" t="n"/>
      <c r="N91" s="38" t="n"/>
      <c r="O91" s="38" t="n"/>
    </row>
    <row r="92">
      <c r="A92" s="38" t="n"/>
      <c r="B92" s="38" t="n"/>
      <c r="C92" s="38" t="n"/>
      <c r="D92" s="38" t="n"/>
      <c r="E92" s="38" t="n"/>
      <c r="F92" s="38" t="n"/>
      <c r="G92" s="38" t="n"/>
      <c r="H92" s="38" t="n"/>
      <c r="I92" s="38" t="n"/>
      <c r="J92" s="38" t="n"/>
      <c r="K92" s="38" t="n"/>
      <c r="L92" s="38" t="n"/>
      <c r="M92" s="38" t="n"/>
      <c r="N92" s="38" t="n"/>
      <c r="O92" s="38" t="n"/>
    </row>
    <row r="93">
      <c r="A93" s="38" t="n"/>
      <c r="B93" s="38" t="n"/>
      <c r="C93" s="38" t="n"/>
      <c r="D93" s="38" t="n"/>
      <c r="E93" s="38" t="n"/>
      <c r="F93" s="38" t="n"/>
      <c r="G93" s="38" t="n"/>
      <c r="H93" s="38" t="n"/>
      <c r="I93" s="38" t="n"/>
      <c r="J93" s="38" t="n"/>
      <c r="K93" s="38" t="n"/>
      <c r="L93" s="38" t="n"/>
      <c r="M93" s="38" t="n"/>
      <c r="N93" s="38" t="n"/>
      <c r="O93" s="38" t="n"/>
    </row>
    <row r="94">
      <c r="A94" s="38" t="n"/>
      <c r="B94" s="38" t="n"/>
      <c r="C94" s="38" t="n"/>
      <c r="D94" s="38" t="n"/>
      <c r="E94" s="38" t="n"/>
      <c r="F94" s="38" t="n"/>
      <c r="G94" s="38" t="n"/>
      <c r="H94" s="38" t="n"/>
      <c r="I94" s="38" t="n"/>
      <c r="J94" s="38" t="n"/>
      <c r="K94" s="38" t="n"/>
      <c r="L94" s="38" t="n"/>
      <c r="M94" s="38" t="n"/>
      <c r="N94" s="38" t="n"/>
      <c r="O94" s="38" t="n"/>
    </row>
    <row r="95">
      <c r="A95" s="38" t="n"/>
      <c r="B95" s="38" t="n"/>
      <c r="C95" s="38" t="n"/>
      <c r="D95" s="38" t="n"/>
      <c r="E95" s="38" t="n"/>
      <c r="F95" s="38" t="n"/>
      <c r="G95" s="38" t="n"/>
      <c r="H95" s="38" t="n"/>
      <c r="I95" s="38" t="n"/>
      <c r="J95" s="38" t="n"/>
      <c r="K95" s="38" t="n"/>
      <c r="L95" s="38" t="n"/>
      <c r="M95" s="38" t="n"/>
      <c r="N95" s="38" t="n"/>
      <c r="O95" s="38" t="n"/>
    </row>
    <row r="96">
      <c r="A96" s="38" t="n"/>
      <c r="B96" s="38" t="n"/>
      <c r="C96" s="38" t="n"/>
      <c r="D96" s="38" t="n"/>
      <c r="E96" s="38" t="n"/>
      <c r="F96" s="38" t="n"/>
      <c r="G96" s="38" t="n"/>
      <c r="H96" s="38" t="n"/>
      <c r="I96" s="38" t="n"/>
      <c r="J96" s="38" t="n"/>
      <c r="K96" s="38" t="n"/>
      <c r="L96" s="38" t="n"/>
      <c r="M96" s="38" t="n"/>
      <c r="N96" s="38" t="n"/>
      <c r="O96" s="38" t="n"/>
    </row>
    <row r="97">
      <c r="A97" s="38" t="n"/>
      <c r="B97" s="38" t="n"/>
      <c r="C97" s="38" t="n"/>
      <c r="D97" s="38" t="n"/>
      <c r="E97" s="38" t="n"/>
      <c r="F97" s="38" t="n"/>
      <c r="G97" s="38" t="n"/>
      <c r="H97" s="38" t="n"/>
      <c r="I97" s="38" t="n"/>
      <c r="J97" s="38" t="n"/>
      <c r="K97" s="38" t="n"/>
      <c r="L97" s="38" t="n"/>
      <c r="M97" s="38" t="n"/>
      <c r="N97" s="38" t="n"/>
      <c r="O97" s="38" t="n"/>
    </row>
    <row r="98">
      <c r="A98" s="38" t="n"/>
      <c r="B98" s="38" t="n"/>
      <c r="C98" s="38" t="n"/>
      <c r="D98" s="38" t="n"/>
      <c r="E98" s="38" t="n"/>
      <c r="F98" s="38" t="n"/>
      <c r="G98" s="38" t="n"/>
      <c r="H98" s="38" t="n"/>
      <c r="I98" s="38" t="n"/>
      <c r="J98" s="38" t="n"/>
      <c r="K98" s="38" t="n"/>
      <c r="L98" s="38" t="n"/>
      <c r="M98" s="38" t="n"/>
      <c r="N98" s="38" t="n"/>
      <c r="O98" s="38" t="n"/>
    </row>
    <row r="99">
      <c r="A99" s="38" t="n"/>
      <c r="B99" s="38" t="n"/>
      <c r="C99" s="38" t="n"/>
      <c r="D99" s="38" t="n"/>
      <c r="E99" s="38" t="n"/>
      <c r="F99" s="38" t="n"/>
      <c r="G99" s="38" t="n"/>
      <c r="H99" s="38" t="n"/>
      <c r="I99" s="38" t="n"/>
      <c r="J99" s="38" t="n"/>
      <c r="K99" s="38" t="n"/>
      <c r="L99" s="38" t="n"/>
      <c r="M99" s="38" t="n"/>
      <c r="N99" s="38" t="n"/>
      <c r="O99" s="38" t="n"/>
    </row>
    <row r="100">
      <c r="A100" s="38" t="n"/>
      <c r="B100" s="38" t="n"/>
      <c r="C100" s="38" t="n"/>
      <c r="D100" s="38" t="n"/>
      <c r="E100" s="38" t="n"/>
      <c r="F100" s="38" t="n"/>
      <c r="G100" s="38" t="n"/>
      <c r="H100" s="38" t="n"/>
      <c r="I100" s="38" t="n"/>
      <c r="J100" s="38" t="n"/>
      <c r="K100" s="38" t="n"/>
      <c r="L100" s="38" t="n"/>
      <c r="M100" s="38" t="n"/>
      <c r="N100" s="38" t="n"/>
      <c r="O100" s="38" t="n"/>
    </row>
    <row r="101">
      <c r="A101" s="38" t="n"/>
      <c r="B101" s="38" t="n"/>
      <c r="C101" s="38" t="n"/>
      <c r="D101" s="38" t="n"/>
      <c r="E101" s="38" t="n"/>
      <c r="F101" s="38" t="n"/>
      <c r="G101" s="38" t="n"/>
      <c r="H101" s="38" t="n"/>
      <c r="I101" s="38" t="n"/>
      <c r="J101" s="38" t="n"/>
      <c r="K101" s="38" t="n"/>
      <c r="L101" s="38" t="n"/>
      <c r="M101" s="38" t="n"/>
      <c r="N101" s="38" t="n"/>
      <c r="O101" s="38" t="n"/>
    </row>
    <row r="102">
      <c r="A102" s="38" t="n"/>
      <c r="B102" s="38" t="n"/>
      <c r="C102" s="38" t="n"/>
      <c r="D102" s="38" t="n"/>
      <c r="E102" s="38" t="n"/>
      <c r="F102" s="38" t="n"/>
      <c r="G102" s="38" t="n"/>
      <c r="H102" s="38" t="n"/>
      <c r="I102" s="38" t="n"/>
      <c r="J102" s="38" t="n"/>
      <c r="K102" s="38" t="n"/>
      <c r="L102" s="38" t="n"/>
      <c r="M102" s="38" t="n"/>
      <c r="N102" s="38" t="n"/>
      <c r="O102" s="38" t="n"/>
    </row>
    <row r="103">
      <c r="A103" s="38" t="n"/>
      <c r="B103" s="38" t="n"/>
      <c r="C103" s="38" t="n"/>
      <c r="D103" s="38" t="n"/>
      <c r="E103" s="38" t="n"/>
      <c r="F103" s="38" t="n"/>
      <c r="G103" s="38" t="n"/>
      <c r="H103" s="38" t="n"/>
      <c r="I103" s="38" t="n"/>
      <c r="J103" s="38" t="n"/>
      <c r="K103" s="38" t="n"/>
      <c r="L103" s="38" t="n"/>
      <c r="M103" s="38" t="n"/>
      <c r="N103" s="38" t="n"/>
      <c r="O103" s="38" t="n"/>
    </row>
    <row r="104">
      <c r="A104" s="38" t="n"/>
      <c r="B104" s="38" t="n"/>
      <c r="C104" s="38" t="n"/>
      <c r="D104" s="38" t="n"/>
      <c r="E104" s="38" t="n"/>
      <c r="F104" s="38" t="n"/>
      <c r="G104" s="38" t="n"/>
      <c r="H104" s="38" t="n"/>
      <c r="I104" s="38" t="n"/>
      <c r="J104" s="38" t="n"/>
      <c r="K104" s="38" t="n"/>
      <c r="L104" s="38" t="n"/>
      <c r="M104" s="38" t="n"/>
      <c r="N104" s="38" t="n"/>
      <c r="O104" s="38" t="n"/>
    </row>
    <row r="105">
      <c r="A105" s="38" t="n"/>
      <c r="B105" s="38" t="n"/>
      <c r="C105" s="38" t="n"/>
      <c r="D105" s="38" t="n"/>
      <c r="E105" s="38" t="n"/>
      <c r="F105" s="38" t="n"/>
      <c r="G105" s="38" t="n"/>
      <c r="H105" s="38" t="n"/>
      <c r="I105" s="38" t="n"/>
      <c r="J105" s="38" t="n"/>
      <c r="K105" s="38" t="n"/>
      <c r="L105" s="38" t="n"/>
      <c r="M105" s="38" t="n"/>
      <c r="N105" s="38" t="n"/>
      <c r="O105" s="38" t="n"/>
    </row>
    <row r="106">
      <c r="A106" s="38" t="n"/>
      <c r="B106" s="38" t="n"/>
      <c r="C106" s="38" t="n"/>
      <c r="D106" s="38" t="n"/>
      <c r="E106" s="38" t="n"/>
      <c r="F106" s="38" t="n"/>
      <c r="G106" s="38" t="n"/>
      <c r="H106" s="38" t="n"/>
      <c r="I106" s="38" t="n"/>
      <c r="J106" s="38" t="n"/>
      <c r="K106" s="38" t="n"/>
      <c r="L106" s="38" t="n"/>
      <c r="M106" s="38" t="n"/>
      <c r="N106" s="38" t="n"/>
      <c r="O106" s="38" t="n"/>
    </row>
    <row r="107">
      <c r="A107" s="38" t="n"/>
      <c r="B107" s="38" t="n"/>
      <c r="C107" s="38" t="n"/>
      <c r="D107" s="38" t="n"/>
      <c r="E107" s="38" t="n"/>
      <c r="F107" s="38" t="n"/>
      <c r="G107" s="38" t="n"/>
      <c r="H107" s="38" t="n"/>
      <c r="I107" s="38" t="n"/>
      <c r="J107" s="38" t="n"/>
      <c r="K107" s="38" t="n"/>
      <c r="L107" s="38" t="n"/>
      <c r="M107" s="38" t="n"/>
      <c r="N107" s="38" t="n"/>
      <c r="O107" s="38" t="n"/>
    </row>
    <row r="108">
      <c r="A108" s="38" t="n"/>
      <c r="B108" s="38" t="n"/>
      <c r="C108" s="38" t="n"/>
      <c r="D108" s="38" t="n"/>
      <c r="E108" s="38" t="n"/>
      <c r="F108" s="38" t="n"/>
      <c r="G108" s="38" t="n"/>
      <c r="H108" s="38" t="n"/>
      <c r="I108" s="38" t="n"/>
      <c r="J108" s="38" t="n"/>
      <c r="K108" s="38" t="n"/>
      <c r="L108" s="38" t="n"/>
      <c r="M108" s="38" t="n"/>
      <c r="N108" s="38" t="n"/>
      <c r="O108" s="38" t="n"/>
    </row>
    <row r="109">
      <c r="A109" s="38" t="n"/>
      <c r="B109" s="38" t="n"/>
      <c r="C109" s="38" t="n"/>
      <c r="D109" s="38" t="n"/>
      <c r="E109" s="38" t="n"/>
      <c r="F109" s="38" t="n"/>
      <c r="G109" s="38" t="n"/>
      <c r="H109" s="38" t="n"/>
      <c r="I109" s="38" t="n"/>
      <c r="J109" s="38" t="n"/>
      <c r="K109" s="38" t="n"/>
      <c r="L109" s="38" t="n"/>
      <c r="M109" s="38" t="n"/>
      <c r="N109" s="38" t="n"/>
      <c r="O109" s="38" t="n"/>
    </row>
    <row r="110">
      <c r="A110" s="38" t="n"/>
      <c r="B110" s="38" t="n"/>
      <c r="C110" s="38" t="n"/>
      <c r="D110" s="38" t="n"/>
      <c r="E110" s="38" t="n"/>
      <c r="F110" s="38" t="n"/>
      <c r="G110" s="38" t="n"/>
      <c r="H110" s="38" t="n"/>
      <c r="I110" s="38" t="n"/>
      <c r="J110" s="38" t="n"/>
      <c r="K110" s="38" t="n"/>
      <c r="L110" s="38" t="n"/>
      <c r="M110" s="38" t="n"/>
      <c r="N110" s="38" t="n"/>
      <c r="O110" s="38" t="n"/>
    </row>
    <row r="111">
      <c r="A111" s="38" t="n"/>
      <c r="B111" s="38" t="n"/>
      <c r="C111" s="38" t="n"/>
      <c r="D111" s="38" t="n"/>
      <c r="E111" s="38" t="n"/>
      <c r="F111" s="38" t="n"/>
      <c r="G111" s="38" t="n"/>
      <c r="H111" s="38" t="n"/>
      <c r="I111" s="38" t="n"/>
      <c r="J111" s="38" t="n"/>
      <c r="K111" s="38" t="n"/>
      <c r="L111" s="38" t="n"/>
      <c r="M111" s="38" t="n"/>
      <c r="N111" s="38" t="n"/>
      <c r="O111" s="38" t="n"/>
    </row>
    <row r="112">
      <c r="A112" s="38" t="n"/>
      <c r="B112" s="38" t="n"/>
      <c r="C112" s="38" t="n"/>
      <c r="D112" s="38" t="n"/>
      <c r="E112" s="38" t="n"/>
      <c r="F112" s="38" t="n"/>
      <c r="G112" s="38" t="n"/>
      <c r="H112" s="38" t="n"/>
      <c r="I112" s="38" t="n"/>
      <c r="J112" s="38" t="n"/>
      <c r="K112" s="38" t="n"/>
      <c r="L112" s="38" t="n"/>
      <c r="M112" s="38" t="n"/>
      <c r="N112" s="38" t="n"/>
      <c r="O112" s="38" t="n"/>
    </row>
    <row r="113">
      <c r="A113" s="38" t="n"/>
      <c r="B113" s="38" t="n"/>
      <c r="C113" s="38" t="n"/>
      <c r="D113" s="38" t="n"/>
      <c r="E113" s="38" t="n"/>
      <c r="F113" s="38" t="n"/>
      <c r="G113" s="38" t="n"/>
      <c r="H113" s="38" t="n"/>
      <c r="I113" s="38" t="n"/>
      <c r="J113" s="38" t="n"/>
      <c r="K113" s="38" t="n"/>
      <c r="L113" s="38" t="n"/>
      <c r="M113" s="38" t="n"/>
      <c r="N113" s="38" t="n"/>
      <c r="O113" s="38" t="n"/>
    </row>
    <row r="114">
      <c r="A114" s="38" t="n"/>
      <c r="B114" s="38" t="n"/>
      <c r="C114" s="38" t="n"/>
      <c r="D114" s="38" t="n"/>
      <c r="E114" s="38" t="n"/>
      <c r="F114" s="38" t="n"/>
      <c r="G114" s="38" t="n"/>
      <c r="H114" s="38" t="n"/>
      <c r="I114" s="38" t="n"/>
      <c r="J114" s="38" t="n"/>
      <c r="K114" s="38" t="n"/>
      <c r="L114" s="38" t="n"/>
      <c r="M114" s="38" t="n"/>
      <c r="N114" s="38" t="n"/>
      <c r="O114" s="38" t="n"/>
    </row>
    <row r="115">
      <c r="A115" s="38" t="n"/>
      <c r="B115" s="38" t="n"/>
      <c r="C115" s="38" t="n"/>
      <c r="D115" s="38" t="n"/>
      <c r="E115" s="38" t="n"/>
      <c r="F115" s="38" t="n"/>
      <c r="G115" s="38" t="n"/>
      <c r="H115" s="38" t="n"/>
      <c r="I115" s="38" t="n"/>
      <c r="J115" s="38" t="n"/>
      <c r="K115" s="38" t="n"/>
      <c r="L115" s="38" t="n"/>
      <c r="M115" s="38" t="n"/>
      <c r="N115" s="38" t="n"/>
      <c r="O115" s="38" t="n"/>
    </row>
    <row r="116">
      <c r="A116" s="38" t="n"/>
      <c r="B116" s="38" t="n"/>
      <c r="C116" s="38" t="n"/>
      <c r="D116" s="38" t="n"/>
      <c r="E116" s="38" t="n"/>
      <c r="F116" s="38" t="n"/>
      <c r="G116" s="38" t="n"/>
      <c r="H116" s="38" t="n"/>
      <c r="I116" s="38" t="n"/>
      <c r="J116" s="38" t="n"/>
      <c r="K116" s="38" t="n"/>
      <c r="L116" s="38" t="n"/>
      <c r="M116" s="38" t="n"/>
      <c r="N116" s="38" t="n"/>
      <c r="O116" s="38" t="n"/>
    </row>
    <row r="117">
      <c r="A117" s="38" t="n"/>
      <c r="B117" s="38" t="n"/>
      <c r="C117" s="38" t="n"/>
      <c r="D117" s="38" t="n"/>
      <c r="E117" s="38" t="n"/>
      <c r="F117" s="38" t="n"/>
      <c r="G117" s="38" t="n"/>
      <c r="H117" s="38" t="n"/>
      <c r="I117" s="38" t="n"/>
      <c r="J117" s="38" t="n"/>
      <c r="K117" s="38" t="n"/>
      <c r="L117" s="38" t="n"/>
      <c r="M117" s="38" t="n"/>
      <c r="N117" s="38" t="n"/>
      <c r="O117" s="38" t="n"/>
    </row>
    <row r="118">
      <c r="A118" s="38" t="n"/>
      <c r="B118" s="38" t="n"/>
      <c r="C118" s="38" t="n"/>
      <c r="D118" s="38" t="n"/>
      <c r="E118" s="38" t="n"/>
      <c r="F118" s="38" t="n"/>
      <c r="G118" s="38" t="n"/>
      <c r="H118" s="38" t="n"/>
      <c r="I118" s="38" t="n"/>
      <c r="J118" s="38" t="n"/>
      <c r="K118" s="38" t="n"/>
      <c r="L118" s="38" t="n"/>
      <c r="M118" s="38" t="n"/>
      <c r="N118" s="38" t="n"/>
      <c r="O118" s="38" t="n"/>
    </row>
    <row r="119">
      <c r="A119" s="38" t="n"/>
      <c r="B119" s="38" t="n"/>
      <c r="C119" s="38" t="n"/>
      <c r="D119" s="38" t="n"/>
      <c r="E119" s="38" t="n"/>
      <c r="F119" s="38" t="n"/>
      <c r="G119" s="38" t="n"/>
      <c r="H119" s="38" t="n"/>
      <c r="I119" s="38" t="n"/>
      <c r="J119" s="38" t="n"/>
      <c r="K119" s="38" t="n"/>
      <c r="L119" s="38" t="n"/>
      <c r="M119" s="38" t="n"/>
      <c r="N119" s="38" t="n"/>
      <c r="O119" s="38" t="n"/>
    </row>
  </sheetData>
  <mergeCells count="54">
    <mergeCell ref="D28:J28"/>
    <mergeCell ref="D18:J18"/>
    <mergeCell ref="B7:C7"/>
    <mergeCell ref="B25:C25"/>
    <mergeCell ref="A17:J17"/>
    <mergeCell ref="D12:J12"/>
    <mergeCell ref="D25:J25"/>
    <mergeCell ref="B22:C22"/>
    <mergeCell ref="A4:J4"/>
    <mergeCell ref="D15:J15"/>
    <mergeCell ref="B18:C18"/>
    <mergeCell ref="B27:C27"/>
    <mergeCell ref="D29:J29"/>
    <mergeCell ref="D33:J33"/>
    <mergeCell ref="D5:J5"/>
    <mergeCell ref="B12:C12"/>
    <mergeCell ref="D14:J14"/>
    <mergeCell ref="B21:C21"/>
    <mergeCell ref="A31:J31"/>
    <mergeCell ref="B11:C11"/>
    <mergeCell ref="D26:J26"/>
    <mergeCell ref="A9:J9"/>
    <mergeCell ref="D35:J35"/>
    <mergeCell ref="D20:J20"/>
    <mergeCell ref="B14:C14"/>
    <mergeCell ref="D34:J34"/>
    <mergeCell ref="D10:J10"/>
    <mergeCell ref="A24:J24"/>
    <mergeCell ref="D19:J19"/>
    <mergeCell ref="B13:C13"/>
    <mergeCell ref="A1:J1"/>
    <mergeCell ref="D22:J22"/>
    <mergeCell ref="B29:C29"/>
    <mergeCell ref="B19:C19"/>
    <mergeCell ref="B34:C34"/>
    <mergeCell ref="B10:C10"/>
    <mergeCell ref="D21:J21"/>
    <mergeCell ref="D6:J6"/>
    <mergeCell ref="B28:C28"/>
    <mergeCell ref="D13:J13"/>
    <mergeCell ref="D11:J11"/>
    <mergeCell ref="D27:J27"/>
    <mergeCell ref="B6:C6"/>
    <mergeCell ref="D32:J32"/>
    <mergeCell ref="A37:J37"/>
    <mergeCell ref="B15:C15"/>
    <mergeCell ref="B26:C26"/>
    <mergeCell ref="B33:C33"/>
    <mergeCell ref="B5:C5"/>
    <mergeCell ref="B20:C20"/>
    <mergeCell ref="D7:J7"/>
    <mergeCell ref="B32:C32"/>
    <mergeCell ref="A2:J2"/>
    <mergeCell ref="B35:C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F766E"/>
    <outlinePr summaryBelow="1" summaryRight="1"/>
    <pageSetUpPr/>
  </sheetPr>
  <dimension ref="A1:S12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32" customHeight="1">
      <c r="A1" s="37" t="inlineStr">
        <is>
          <t>⚙️  FUNCTION POINT ESTIMATOR — Enter Your Project Details</t>
        </is>
      </c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</row>
    <row r="2" ht="18" customHeight="1">
      <c r="A2" s="57" t="inlineStr">
        <is>
          <t>Blue cells = INPUT  |  Green cells = CALCULATED  |  Yellow cells = OVERRIDE (optional)</t>
        </is>
      </c>
      <c r="K2" s="38" t="n"/>
      <c r="L2" s="38" t="n"/>
      <c r="M2" s="38" t="n"/>
      <c r="N2" s="38" t="n"/>
      <c r="O2" s="38" t="n"/>
      <c r="P2" s="38" t="n"/>
      <c r="Q2" s="38" t="n"/>
      <c r="R2" s="38" t="n"/>
      <c r="S2" s="38" t="n"/>
    </row>
    <row r="3" ht="8" customHeight="1">
      <c r="A3" s="38" t="n"/>
      <c r="B3" s="38" t="n"/>
      <c r="C3" s="38" t="n"/>
      <c r="D3" s="38" t="n"/>
      <c r="E3" s="38" t="n"/>
      <c r="F3" s="38" t="n"/>
      <c r="G3" s="38" t="n"/>
      <c r="H3" s="38" t="n"/>
      <c r="I3" s="38" t="n"/>
      <c r="J3" s="38" t="n"/>
      <c r="K3" s="38" t="n"/>
      <c r="L3" s="38" t="n"/>
      <c r="M3" s="38" t="n"/>
      <c r="N3" s="38" t="n"/>
      <c r="O3" s="38" t="n"/>
      <c r="P3" s="38" t="n"/>
      <c r="Q3" s="38" t="n"/>
      <c r="R3" s="38" t="n"/>
      <c r="S3" s="38" t="n"/>
    </row>
    <row r="4" ht="20" customHeight="1">
      <c r="A4" s="49" t="inlineStr">
        <is>
          <t>PROJECT INFORMATION</t>
        </is>
      </c>
      <c r="K4" s="38" t="n"/>
      <c r="L4" s="38" t="n"/>
      <c r="M4" s="38" t="n"/>
      <c r="N4" s="38" t="n"/>
      <c r="O4" s="38" t="n"/>
      <c r="P4" s="38" t="n"/>
      <c r="Q4" s="38" t="n"/>
      <c r="R4" s="38" t="n"/>
      <c r="S4" s="38" t="n"/>
    </row>
    <row r="5" ht="18" customHeight="1">
      <c r="A5" s="38" t="n"/>
      <c r="B5" s="58" t="inlineStr">
        <is>
          <t>Project Name</t>
        </is>
      </c>
      <c r="C5" s="59" t="inlineStr">
        <is>
          <t>Enter project name</t>
        </is>
      </c>
      <c r="D5" s="60" t="n"/>
      <c r="E5" s="60" t="n"/>
      <c r="F5" s="60" t="n"/>
      <c r="G5" s="60" t="n"/>
      <c r="H5" s="60" t="n"/>
      <c r="I5" s="60" t="n"/>
      <c r="J5" s="61" t="n"/>
      <c r="K5" s="38" t="n"/>
      <c r="L5" s="38" t="n"/>
      <c r="M5" s="38" t="n"/>
      <c r="N5" s="38" t="n"/>
      <c r="O5" s="38" t="n"/>
      <c r="P5" s="38" t="n"/>
      <c r="Q5" s="38" t="n"/>
      <c r="R5" s="38" t="n"/>
      <c r="S5" s="38" t="n"/>
    </row>
    <row r="6" ht="18" customHeight="1">
      <c r="A6" s="38" t="n"/>
      <c r="B6" s="58" t="inlineStr">
        <is>
          <t>Project Type</t>
        </is>
      </c>
      <c r="C6" s="59" t="inlineStr">
        <is>
          <t>e.g. Web App / Mobile / ERP / Embedded</t>
        </is>
      </c>
      <c r="D6" s="60" t="n"/>
      <c r="E6" s="60" t="n"/>
      <c r="F6" s="60" t="n"/>
      <c r="G6" s="60" t="n"/>
      <c r="H6" s="60" t="n"/>
      <c r="I6" s="60" t="n"/>
      <c r="J6" s="61" t="n"/>
      <c r="K6" s="38" t="n"/>
      <c r="L6" s="38" t="n"/>
      <c r="M6" s="38" t="n"/>
      <c r="N6" s="38" t="n"/>
      <c r="O6" s="38" t="n"/>
      <c r="P6" s="38" t="n"/>
      <c r="Q6" s="38" t="n"/>
      <c r="R6" s="38" t="n"/>
      <c r="S6" s="38" t="n"/>
    </row>
    <row r="7" ht="18" customHeight="1">
      <c r="A7" s="38" t="n"/>
      <c r="B7" s="58" t="inlineStr">
        <is>
          <t>Industry Sector</t>
        </is>
      </c>
      <c r="C7" s="59" t="inlineStr">
        <is>
          <t>Banking / Healthcare / Retail / Manufacturing / etc</t>
        </is>
      </c>
      <c r="D7" s="60" t="n"/>
      <c r="E7" s="60" t="n"/>
      <c r="F7" s="60" t="n"/>
      <c r="G7" s="60" t="n"/>
      <c r="H7" s="60" t="n"/>
      <c r="I7" s="60" t="n"/>
      <c r="J7" s="61" t="n"/>
      <c r="K7" s="38" t="n"/>
      <c r="L7" s="38" t="n"/>
      <c r="M7" s="38" t="n"/>
      <c r="N7" s="38" t="n"/>
      <c r="O7" s="38" t="n"/>
      <c r="P7" s="38" t="n"/>
      <c r="Q7" s="38" t="n"/>
      <c r="R7" s="38" t="n"/>
      <c r="S7" s="38" t="n"/>
    </row>
    <row r="8" ht="18" customHeight="1">
      <c r="A8" s="38" t="n"/>
      <c r="B8" s="58" t="inlineStr">
        <is>
          <t>Technology Stack</t>
        </is>
      </c>
      <c r="C8" s="59" t="inlineStr">
        <is>
          <t>React + Node / SAP S/4HANA / Java Spring / Python / etc</t>
        </is>
      </c>
      <c r="D8" s="60" t="n"/>
      <c r="E8" s="60" t="n"/>
      <c r="F8" s="60" t="n"/>
      <c r="G8" s="60" t="n"/>
      <c r="H8" s="60" t="n"/>
      <c r="I8" s="60" t="n"/>
      <c r="J8" s="61" t="n"/>
      <c r="K8" s="38" t="n"/>
      <c r="L8" s="38" t="n"/>
      <c r="M8" s="38" t="n"/>
      <c r="N8" s="38" t="n"/>
      <c r="O8" s="38" t="n"/>
      <c r="P8" s="38" t="n"/>
      <c r="Q8" s="38" t="n"/>
      <c r="R8" s="38" t="n"/>
      <c r="S8" s="38" t="n"/>
    </row>
    <row r="9" ht="18" customHeight="1">
      <c r="A9" s="38" t="n"/>
      <c r="B9" s="58" t="inlineStr">
        <is>
          <t>Development Model</t>
        </is>
      </c>
      <c r="C9" s="59" t="inlineStr">
        <is>
          <t>Agile / Waterfall / Hybrid</t>
        </is>
      </c>
      <c r="D9" s="60" t="n"/>
      <c r="E9" s="60" t="n"/>
      <c r="F9" s="60" t="n"/>
      <c r="G9" s="60" t="n"/>
      <c r="H9" s="60" t="n"/>
      <c r="I9" s="60" t="n"/>
      <c r="J9" s="61" t="n"/>
      <c r="K9" s="38" t="n"/>
      <c r="L9" s="38" t="n"/>
      <c r="M9" s="38" t="n"/>
      <c r="N9" s="38" t="n"/>
      <c r="O9" s="38" t="n"/>
      <c r="P9" s="38" t="n"/>
      <c r="Q9" s="38" t="n"/>
      <c r="R9" s="38" t="n"/>
      <c r="S9" s="38" t="n"/>
    </row>
    <row r="10" ht="18" customHeight="1">
      <c r="A10" s="38" t="n"/>
      <c r="B10" s="58" t="inlineStr">
        <is>
          <t>Team Location</t>
        </is>
      </c>
      <c r="C10" s="59" t="inlineStr">
        <is>
          <t>Onshore / Offshore (India) / Nearshore</t>
        </is>
      </c>
      <c r="D10" s="60" t="n"/>
      <c r="E10" s="60" t="n"/>
      <c r="F10" s="60" t="n"/>
      <c r="G10" s="60" t="n"/>
      <c r="H10" s="60" t="n"/>
      <c r="I10" s="60" t="n"/>
      <c r="J10" s="61" t="n"/>
      <c r="K10" s="38" t="n"/>
      <c r="L10" s="38" t="n"/>
      <c r="M10" s="38" t="n"/>
      <c r="N10" s="38" t="n"/>
      <c r="O10" s="38" t="n"/>
      <c r="P10" s="38" t="n"/>
      <c r="Q10" s="38" t="n"/>
      <c r="R10" s="38" t="n"/>
      <c r="S10" s="38" t="n"/>
    </row>
    <row r="11" ht="18" customHeight="1">
      <c r="A11" s="38" t="n"/>
      <c r="B11" s="58" t="inlineStr">
        <is>
          <t>Counting Method</t>
        </is>
      </c>
      <c r="C11" s="59" t="inlineStr">
        <is>
          <t>Choose from: Simple FP | COSMIC FP | IFPUG FP | ERP Hybrid</t>
        </is>
      </c>
      <c r="D11" s="60" t="n"/>
      <c r="E11" s="60" t="n"/>
      <c r="F11" s="60" t="n"/>
      <c r="G11" s="60" t="n"/>
      <c r="H11" s="60" t="n"/>
      <c r="I11" s="60" t="n"/>
      <c r="J11" s="61" t="n"/>
      <c r="K11" s="38" t="n"/>
      <c r="L11" s="38" t="n"/>
      <c r="M11" s="38" t="n"/>
      <c r="N11" s="38" t="n"/>
      <c r="O11" s="38" t="n"/>
      <c r="P11" s="38" t="n"/>
      <c r="Q11" s="38" t="n"/>
      <c r="R11" s="38" t="n"/>
      <c r="S11" s="38" t="n"/>
    </row>
    <row r="12" ht="18" customHeight="1">
      <c r="A12" s="38" t="n"/>
      <c r="B12" s="58" t="inlineStr">
        <is>
          <t>Estimation Date</t>
        </is>
      </c>
      <c r="C12" s="59" t="inlineStr"/>
      <c r="D12" s="60" t="n"/>
      <c r="E12" s="60" t="n"/>
      <c r="F12" s="60" t="n"/>
      <c r="G12" s="60" t="n"/>
      <c r="H12" s="60" t="n"/>
      <c r="I12" s="60" t="n"/>
      <c r="J12" s="61" t="n"/>
      <c r="K12" s="38" t="n"/>
      <c r="L12" s="38" t="n"/>
      <c r="M12" s="38" t="n"/>
      <c r="N12" s="38" t="n"/>
      <c r="O12" s="38" t="n"/>
      <c r="P12" s="38" t="n"/>
      <c r="Q12" s="38" t="n"/>
      <c r="R12" s="38" t="n"/>
      <c r="S12" s="38" t="n"/>
    </row>
    <row r="13" ht="18" customHeight="1">
      <c r="A13" s="38" t="n"/>
      <c r="B13" s="58" t="inlineStr">
        <is>
          <t>Prepared By</t>
        </is>
      </c>
      <c r="C13" s="59" t="inlineStr"/>
      <c r="D13" s="60" t="n"/>
      <c r="E13" s="60" t="n"/>
      <c r="F13" s="60" t="n"/>
      <c r="G13" s="60" t="n"/>
      <c r="H13" s="60" t="n"/>
      <c r="I13" s="60" t="n"/>
      <c r="J13" s="61" t="n"/>
      <c r="K13" s="38" t="n"/>
      <c r="L13" s="38" t="n"/>
      <c r="M13" s="38" t="n"/>
      <c r="N13" s="38" t="n"/>
      <c r="O13" s="38" t="n"/>
      <c r="P13" s="38" t="n"/>
      <c r="Q13" s="38" t="n"/>
      <c r="R13" s="38" t="n"/>
      <c r="S13" s="38" t="n"/>
    </row>
    <row r="14">
      <c r="A14" s="38" t="n"/>
      <c r="B14" s="38" t="n"/>
      <c r="C14" s="38" t="n"/>
      <c r="D14" s="38" t="n"/>
      <c r="E14" s="38" t="n"/>
      <c r="F14" s="38" t="n"/>
      <c r="G14" s="38" t="n"/>
      <c r="H14" s="38" t="n"/>
      <c r="I14" s="38" t="n"/>
      <c r="J14" s="38" t="n"/>
      <c r="K14" s="38" t="n"/>
      <c r="L14" s="38" t="n"/>
      <c r="M14" s="38" t="n"/>
      <c r="N14" s="38" t="n"/>
      <c r="O14" s="38" t="n"/>
      <c r="P14" s="38" t="n"/>
      <c r="Q14" s="38" t="n"/>
      <c r="R14" s="38" t="n"/>
      <c r="S14" s="38" t="n"/>
    </row>
    <row r="15" ht="8" customHeight="1">
      <c r="A15" s="38" t="n"/>
      <c r="B15" s="38" t="n"/>
      <c r="C15" s="38" t="n"/>
      <c r="D15" s="38" t="n"/>
      <c r="E15" s="38" t="n"/>
      <c r="F15" s="38" t="n"/>
      <c r="G15" s="38" t="n"/>
      <c r="H15" s="38" t="n"/>
      <c r="I15" s="38" t="n"/>
      <c r="J15" s="38" t="n"/>
      <c r="K15" s="38" t="n"/>
      <c r="L15" s="38" t="n"/>
      <c r="M15" s="38" t="n"/>
      <c r="N15" s="38" t="n"/>
      <c r="O15" s="38" t="n"/>
      <c r="P15" s="38" t="n"/>
      <c r="Q15" s="38" t="n"/>
      <c r="R15" s="38" t="n"/>
      <c r="S15" s="38" t="n"/>
    </row>
    <row r="16" ht="20" customHeight="1">
      <c r="A16" s="40" t="inlineStr">
        <is>
          <t>SECTION A — SIMPLE FUNCTION POINT (SFP) COUNT</t>
        </is>
      </c>
      <c r="K16" s="38" t="n"/>
      <c r="L16" s="38" t="n"/>
      <c r="M16" s="38" t="n"/>
      <c r="N16" s="38" t="n"/>
      <c r="O16" s="38" t="n"/>
      <c r="P16" s="38" t="n"/>
      <c r="Q16" s="38" t="n"/>
      <c r="R16" s="38" t="n"/>
      <c r="S16" s="38" t="n"/>
    </row>
    <row r="17" ht="18" customHeight="1">
      <c r="A17" s="62" t="inlineStr">
        <is>
          <t>Enter the COUNT of each function type. Flat weights are applied automatically. No complexity classification needed.</t>
        </is>
      </c>
      <c r="K17" s="38" t="n"/>
      <c r="L17" s="38" t="n"/>
      <c r="M17" s="38" t="n"/>
      <c r="N17" s="38" t="n"/>
      <c r="O17" s="38" t="n"/>
      <c r="P17" s="38" t="n"/>
      <c r="Q17" s="38" t="n"/>
      <c r="R17" s="38" t="n"/>
      <c r="S17" s="38" t="n"/>
    </row>
    <row r="18" ht="18" customHeight="1">
      <c r="A18" s="38" t="n"/>
      <c r="B18" s="63" t="inlineStr">
        <is>
          <t>Function Type</t>
        </is>
      </c>
      <c r="C18" s="63" t="inlineStr">
        <is>
          <t>Description</t>
        </is>
      </c>
      <c r="D18" s="63" t="inlineStr">
        <is>
          <t>Count</t>
        </is>
      </c>
      <c r="E18" s="63" t="inlineStr">
        <is>
          <t>Weight</t>
        </is>
      </c>
      <c r="F18" s="63" t="inlineStr">
        <is>
          <t>Sub-total FP</t>
        </is>
      </c>
      <c r="G18" s="63" t="inlineStr">
        <is>
          <t>% of Total</t>
        </is>
      </c>
      <c r="H18" s="38" t="n"/>
      <c r="I18" s="38" t="n"/>
      <c r="J18" s="38" t="n"/>
      <c r="K18" s="38" t="n"/>
      <c r="L18" s="38" t="n"/>
      <c r="M18" s="38" t="n"/>
      <c r="N18" s="38" t="n"/>
      <c r="O18" s="38" t="n"/>
      <c r="P18" s="38" t="n"/>
      <c r="Q18" s="38" t="n"/>
      <c r="R18" s="38" t="n"/>
      <c r="S18" s="38" t="n"/>
    </row>
    <row r="19" ht="18" customHeight="1">
      <c r="A19" s="38" t="n"/>
      <c r="B19" s="64" t="inlineStr">
        <is>
          <t>External Input (EI)</t>
        </is>
      </c>
      <c r="C19" s="65" t="inlineStr">
        <is>
          <t>Screens/APIs that receive data &amp; update a file</t>
        </is>
      </c>
      <c r="D19" s="66" t="n">
        <v>0</v>
      </c>
      <c r="E19" s="67" t="n">
        <v>4</v>
      </c>
      <c r="F19" s="68">
        <f>D19*E19</f>
        <v/>
      </c>
      <c r="G19" s="69">
        <f>IF(F24=0,0,F19/F24)</f>
        <v/>
      </c>
      <c r="H19" s="38" t="n"/>
      <c r="I19" s="38" t="n"/>
      <c r="J19" s="38" t="n"/>
      <c r="K19" s="38" t="n"/>
      <c r="L19" s="38" t="n"/>
      <c r="M19" s="38" t="n"/>
      <c r="N19" s="38" t="n"/>
      <c r="O19" s="38" t="n"/>
      <c r="P19" s="38" t="n"/>
      <c r="Q19" s="38" t="n"/>
      <c r="R19" s="38" t="n"/>
      <c r="S19" s="38" t="n"/>
    </row>
    <row r="20" ht="18" customHeight="1">
      <c r="A20" s="38" t="n"/>
      <c r="B20" s="70" t="inlineStr">
        <is>
          <t>External Output (EO)</t>
        </is>
      </c>
      <c r="C20" s="71" t="inlineStr">
        <is>
          <t>Reports/outputs with derived/processed data</t>
        </is>
      </c>
      <c r="D20" s="66" t="n">
        <v>0</v>
      </c>
      <c r="E20" s="72" t="n">
        <v>5</v>
      </c>
      <c r="F20" s="68">
        <f>D20*E20</f>
        <v/>
      </c>
      <c r="G20" s="69">
        <f>IF(F24=0,0,F20/F24)</f>
        <v/>
      </c>
      <c r="H20" s="38" t="n"/>
      <c r="I20" s="38" t="n"/>
      <c r="J20" s="38" t="n"/>
      <c r="K20" s="38" t="n"/>
      <c r="L20" s="38" t="n"/>
      <c r="M20" s="38" t="n"/>
      <c r="N20" s="38" t="n"/>
      <c r="O20" s="38" t="n"/>
      <c r="P20" s="38" t="n"/>
      <c r="Q20" s="38" t="n"/>
      <c r="R20" s="38" t="n"/>
      <c r="S20" s="38" t="n"/>
    </row>
    <row r="21" ht="18" customHeight="1">
      <c r="A21" s="38" t="n"/>
      <c r="B21" s="64" t="inlineStr">
        <is>
          <t>External Inquiry (EQ)</t>
        </is>
      </c>
      <c r="C21" s="65" t="inlineStr">
        <is>
          <t>Read-only data retrieval without derivation</t>
        </is>
      </c>
      <c r="D21" s="66" t="n">
        <v>0</v>
      </c>
      <c r="E21" s="67" t="n">
        <v>4</v>
      </c>
      <c r="F21" s="68">
        <f>D21*E21</f>
        <v/>
      </c>
      <c r="G21" s="69">
        <f>IF(F24=0,0,F21/F24)</f>
        <v/>
      </c>
      <c r="H21" s="38" t="n"/>
      <c r="I21" s="38" t="n"/>
      <c r="J21" s="38" t="n"/>
      <c r="K21" s="38" t="n"/>
      <c r="L21" s="38" t="n"/>
      <c r="M21" s="38" t="n"/>
      <c r="N21" s="38" t="n"/>
      <c r="O21" s="38" t="n"/>
      <c r="P21" s="38" t="n"/>
      <c r="Q21" s="38" t="n"/>
      <c r="R21" s="38" t="n"/>
      <c r="S21" s="38" t="n"/>
    </row>
    <row r="22" ht="18" customHeight="1">
      <c r="A22" s="38" t="n"/>
      <c r="B22" s="70" t="inlineStr">
        <is>
          <t>Internal Logical File (ILF)</t>
        </is>
      </c>
      <c r="C22" s="71" t="inlineStr">
        <is>
          <t>Data groups maintained within the application</t>
        </is>
      </c>
      <c r="D22" s="66" t="n">
        <v>0</v>
      </c>
      <c r="E22" s="72" t="n">
        <v>7</v>
      </c>
      <c r="F22" s="68">
        <f>D22*E22</f>
        <v/>
      </c>
      <c r="G22" s="69">
        <f>IF(F24=0,0,F22/F24)</f>
        <v/>
      </c>
      <c r="H22" s="38" t="n"/>
      <c r="I22" s="38" t="n"/>
      <c r="J22" s="38" t="n"/>
      <c r="K22" s="38" t="n"/>
      <c r="L22" s="38" t="n"/>
      <c r="M22" s="38" t="n"/>
      <c r="N22" s="38" t="n"/>
      <c r="O22" s="38" t="n"/>
      <c r="P22" s="38" t="n"/>
      <c r="Q22" s="38" t="n"/>
      <c r="R22" s="38" t="n"/>
      <c r="S22" s="38" t="n"/>
    </row>
    <row r="23" ht="18" customHeight="1">
      <c r="A23" s="38" t="n"/>
      <c r="B23" s="64" t="inlineStr">
        <is>
          <t>External Interface File (EIF)</t>
        </is>
      </c>
      <c r="C23" s="65" t="inlineStr">
        <is>
          <t>Data groups from external applications (read-only)</t>
        </is>
      </c>
      <c r="D23" s="66" t="n">
        <v>0</v>
      </c>
      <c r="E23" s="67" t="n">
        <v>5</v>
      </c>
      <c r="F23" s="68">
        <f>D23*E23</f>
        <v/>
      </c>
      <c r="G23" s="69">
        <f>IF(F24=0,0,F23/F24)</f>
        <v/>
      </c>
      <c r="H23" s="38" t="n"/>
      <c r="I23" s="38" t="n"/>
      <c r="J23" s="38" t="n"/>
      <c r="K23" s="38" t="n"/>
      <c r="L23" s="38" t="n"/>
      <c r="M23" s="38" t="n"/>
      <c r="N23" s="38" t="n"/>
      <c r="O23" s="38" t="n"/>
      <c r="P23" s="38" t="n"/>
      <c r="Q23" s="38" t="n"/>
      <c r="R23" s="38" t="n"/>
      <c r="S23" s="38" t="n"/>
    </row>
    <row r="24" ht="22" customHeight="1">
      <c r="A24" s="38" t="n"/>
      <c r="B24" s="73" t="inlineStr">
        <is>
          <t>TOTAL SFP</t>
        </is>
      </c>
      <c r="C24" s="74" t="inlineStr"/>
      <c r="E24" s="74" t="inlineStr"/>
      <c r="F24" s="75">
        <f>SUM(F19:F23)</f>
        <v/>
      </c>
      <c r="G24" s="38" t="n"/>
      <c r="H24" s="38" t="n"/>
      <c r="I24" s="38" t="n"/>
      <c r="J24" s="38" t="n"/>
      <c r="K24" s="38" t="n"/>
      <c r="L24" s="38" t="n"/>
      <c r="M24" s="38" t="n"/>
      <c r="N24" s="38" t="n"/>
      <c r="O24" s="38" t="n"/>
      <c r="P24" s="38" t="n"/>
      <c r="Q24" s="38" t="n"/>
      <c r="R24" s="38" t="n"/>
      <c r="S24" s="38" t="n"/>
    </row>
    <row r="25">
      <c r="A25" s="38" t="n"/>
      <c r="B25" s="38" t="n"/>
      <c r="C25" s="38" t="n"/>
      <c r="D25" s="38" t="n"/>
      <c r="E25" s="38" t="n"/>
      <c r="F25" s="38" t="n"/>
      <c r="G25" s="38" t="n"/>
      <c r="H25" s="38" t="n"/>
      <c r="I25" s="38" t="n"/>
      <c r="J25" s="38" t="n"/>
      <c r="K25" s="38" t="n"/>
      <c r="L25" s="38" t="n"/>
      <c r="M25" s="38" t="n"/>
      <c r="N25" s="38" t="n"/>
      <c r="O25" s="38" t="n"/>
      <c r="P25" s="38" t="n"/>
      <c r="Q25" s="38" t="n"/>
      <c r="R25" s="38" t="n"/>
      <c r="S25" s="38" t="n"/>
    </row>
    <row r="26" ht="8" customHeight="1">
      <c r="A26" s="38" t="n"/>
      <c r="B26" s="38" t="n"/>
      <c r="C26" s="38" t="n"/>
      <c r="D26" s="38" t="n"/>
      <c r="E26" s="38" t="n"/>
      <c r="F26" s="38" t="n"/>
      <c r="G26" s="38" t="n"/>
      <c r="H26" s="38" t="n"/>
      <c r="I26" s="38" t="n"/>
      <c r="J26" s="38" t="n"/>
      <c r="K26" s="38" t="n"/>
      <c r="L26" s="38" t="n"/>
      <c r="M26" s="38" t="n"/>
      <c r="N26" s="38" t="n"/>
      <c r="O26" s="38" t="n"/>
      <c r="P26" s="38" t="n"/>
      <c r="Q26" s="38" t="n"/>
      <c r="R26" s="38" t="n"/>
      <c r="S26" s="38" t="n"/>
    </row>
    <row r="27" ht="20" customHeight="1">
      <c r="A27" s="43" t="inlineStr">
        <is>
          <t>SECTION B — COSMIC FUNCTION POINT (CFP) COUNT</t>
        </is>
      </c>
      <c r="K27" s="38" t="n"/>
      <c r="L27" s="38" t="n"/>
      <c r="M27" s="38" t="n"/>
      <c r="N27" s="38" t="n"/>
      <c r="O27" s="38" t="n"/>
      <c r="P27" s="38" t="n"/>
      <c r="Q27" s="38" t="n"/>
      <c r="R27" s="38" t="n"/>
      <c r="S27" s="38" t="n"/>
    </row>
    <row r="28" ht="16" customHeight="1">
      <c r="A28" s="76" t="inlineStr">
        <is>
          <t>Enter the TOTAL count of each data movement type across ALL functional processes. Each movement = 1 CFP.</t>
        </is>
      </c>
      <c r="K28" s="38" t="n"/>
      <c r="L28" s="38" t="n"/>
      <c r="M28" s="38" t="n"/>
      <c r="N28" s="38" t="n"/>
      <c r="O28" s="38" t="n"/>
      <c r="P28" s="38" t="n"/>
      <c r="Q28" s="38" t="n"/>
      <c r="R28" s="38" t="n"/>
      <c r="S28" s="38" t="n"/>
    </row>
    <row r="29" ht="18" customHeight="1">
      <c r="A29" s="38" t="n"/>
      <c r="B29" s="77" t="inlineStr">
        <is>
          <t>Data Movement</t>
        </is>
      </c>
      <c r="C29" s="77" t="inlineStr">
        <is>
          <t>Direction &amp; Meaning</t>
        </is>
      </c>
      <c r="D29" s="77" t="inlineStr">
        <is>
          <t>Count (all processes)</t>
        </is>
      </c>
      <c r="E29" s="77" t="inlineStr">
        <is>
          <t>CFP</t>
        </is>
      </c>
      <c r="F29" s="77" t="inlineStr">
        <is>
          <t>% of Total</t>
        </is>
      </c>
      <c r="G29" s="38" t="n"/>
      <c r="H29" s="38" t="n"/>
      <c r="I29" s="38" t="n"/>
      <c r="J29" s="38" t="n"/>
      <c r="K29" s="38" t="n"/>
      <c r="L29" s="38" t="n"/>
      <c r="M29" s="38" t="n"/>
      <c r="N29" s="38" t="n"/>
      <c r="O29" s="38" t="n"/>
      <c r="P29" s="38" t="n"/>
      <c r="Q29" s="38" t="n"/>
      <c r="R29" s="38" t="n"/>
      <c r="S29" s="38" t="n"/>
    </row>
    <row r="30" ht="18" customHeight="1">
      <c r="A30" s="38" t="n"/>
      <c r="B30" s="78" t="inlineStr">
        <is>
          <t>Entry (E)</t>
        </is>
      </c>
      <c r="C30" s="79" t="inlineStr">
        <is>
          <t>Data from user/external system INTO the functional process</t>
        </is>
      </c>
      <c r="D30" s="80" t="n">
        <v>0</v>
      </c>
      <c r="E30" s="68">
        <f>D30</f>
        <v/>
      </c>
      <c r="F30" s="69">
        <f>IF(E34=0,0,E30/E34)</f>
        <v/>
      </c>
      <c r="G30" s="38" t="n"/>
      <c r="H30" s="38" t="n"/>
      <c r="I30" s="38" t="n"/>
      <c r="J30" s="38" t="n"/>
      <c r="K30" s="38" t="n"/>
      <c r="L30" s="38" t="n"/>
      <c r="M30" s="38" t="n"/>
      <c r="N30" s="38" t="n"/>
      <c r="O30" s="38" t="n"/>
      <c r="P30" s="38" t="n"/>
      <c r="Q30" s="38" t="n"/>
      <c r="R30" s="38" t="n"/>
      <c r="S30" s="38" t="n"/>
    </row>
    <row r="31" ht="18" customHeight="1">
      <c r="A31" s="38" t="n"/>
      <c r="B31" s="81" t="inlineStr">
        <is>
          <t>Exit (X)</t>
        </is>
      </c>
      <c r="C31" s="71" t="inlineStr">
        <is>
          <t>Data from process TO user/external system (output/response)</t>
        </is>
      </c>
      <c r="D31" s="80" t="n">
        <v>0</v>
      </c>
      <c r="E31" s="68">
        <f>D31</f>
        <v/>
      </c>
      <c r="F31" s="69">
        <f>IF(E34=0,0,E31/E34)</f>
        <v/>
      </c>
      <c r="G31" s="38" t="n"/>
      <c r="H31" s="38" t="n"/>
      <c r="I31" s="38" t="n"/>
      <c r="J31" s="38" t="n"/>
      <c r="K31" s="38" t="n"/>
      <c r="L31" s="38" t="n"/>
      <c r="M31" s="38" t="n"/>
      <c r="N31" s="38" t="n"/>
      <c r="O31" s="38" t="n"/>
      <c r="P31" s="38" t="n"/>
      <c r="Q31" s="38" t="n"/>
      <c r="R31" s="38" t="n"/>
      <c r="S31" s="38" t="n"/>
    </row>
    <row r="32" ht="18" customHeight="1">
      <c r="A32" s="38" t="n"/>
      <c r="B32" s="78" t="inlineStr">
        <is>
          <t>Read (R)</t>
        </is>
      </c>
      <c r="C32" s="79" t="inlineStr">
        <is>
          <t>Data retrieved FROM persistent storage during the process</t>
        </is>
      </c>
      <c r="D32" s="80" t="n">
        <v>0</v>
      </c>
      <c r="E32" s="68">
        <f>D32</f>
        <v/>
      </c>
      <c r="F32" s="69">
        <f>IF(E34=0,0,E32/E34)</f>
        <v/>
      </c>
      <c r="G32" s="38" t="n"/>
      <c r="H32" s="38" t="n"/>
      <c r="I32" s="38" t="n"/>
      <c r="J32" s="38" t="n"/>
      <c r="K32" s="38" t="n"/>
      <c r="L32" s="38" t="n"/>
      <c r="M32" s="38" t="n"/>
      <c r="N32" s="38" t="n"/>
      <c r="O32" s="38" t="n"/>
      <c r="P32" s="38" t="n"/>
      <c r="Q32" s="38" t="n"/>
      <c r="R32" s="38" t="n"/>
      <c r="S32" s="38" t="n"/>
    </row>
    <row r="33" ht="18" customHeight="1">
      <c r="A33" s="38" t="n"/>
      <c r="B33" s="81" t="inlineStr">
        <is>
          <t>Write (W)</t>
        </is>
      </c>
      <c r="C33" s="71" t="inlineStr">
        <is>
          <t>Data written TO persistent storage during the process</t>
        </is>
      </c>
      <c r="D33" s="80" t="n">
        <v>0</v>
      </c>
      <c r="E33" s="68">
        <f>D33</f>
        <v/>
      </c>
      <c r="F33" s="69">
        <f>IF(E34=0,0,E33/E34)</f>
        <v/>
      </c>
      <c r="G33" s="38" t="n"/>
      <c r="H33" s="38" t="n"/>
      <c r="I33" s="38" t="n"/>
      <c r="J33" s="38" t="n"/>
      <c r="K33" s="38" t="n"/>
      <c r="L33" s="38" t="n"/>
      <c r="M33" s="38" t="n"/>
      <c r="N33" s="38" t="n"/>
      <c r="O33" s="38" t="n"/>
      <c r="P33" s="38" t="n"/>
      <c r="Q33" s="38" t="n"/>
      <c r="R33" s="38" t="n"/>
      <c r="S33" s="38" t="n"/>
    </row>
    <row r="34" ht="22" customHeight="1">
      <c r="A34" s="38" t="n"/>
      <c r="B34" s="82" t="inlineStr">
        <is>
          <t>TOTAL CFP</t>
        </is>
      </c>
      <c r="C34" s="83" t="inlineStr"/>
      <c r="E34" s="38" t="n"/>
      <c r="F34" s="84">
        <f>SUM(E30:E33)</f>
        <v/>
      </c>
      <c r="G34" s="38" t="n"/>
      <c r="H34" s="38" t="n"/>
      <c r="I34" s="38" t="n"/>
      <c r="J34" s="38" t="n"/>
      <c r="K34" s="38" t="n"/>
      <c r="L34" s="38" t="n"/>
      <c r="M34" s="38" t="n"/>
      <c r="N34" s="38" t="n"/>
      <c r="O34" s="38" t="n"/>
      <c r="P34" s="38" t="n"/>
      <c r="Q34" s="38" t="n"/>
      <c r="R34" s="38" t="n"/>
      <c r="S34" s="38" t="n"/>
    </row>
    <row r="35">
      <c r="A35" s="38" t="n"/>
      <c r="B35" s="38" t="n"/>
      <c r="C35" s="38" t="n"/>
      <c r="D35" s="38" t="n"/>
      <c r="E35" s="38" t="n"/>
      <c r="F35" s="38" t="n"/>
      <c r="G35" s="38" t="n"/>
      <c r="H35" s="38" t="n"/>
      <c r="I35" s="38" t="n"/>
      <c r="J35" s="38" t="n"/>
      <c r="K35" s="38" t="n"/>
      <c r="L35" s="38" t="n"/>
      <c r="M35" s="38" t="n"/>
      <c r="N35" s="38" t="n"/>
      <c r="O35" s="38" t="n"/>
      <c r="P35" s="38" t="n"/>
      <c r="Q35" s="38" t="n"/>
      <c r="R35" s="38" t="n"/>
      <c r="S35" s="38" t="n"/>
    </row>
    <row r="36" ht="8" customHeight="1">
      <c r="A36" s="38" t="n"/>
      <c r="B36" s="38" t="n"/>
      <c r="C36" s="38" t="n"/>
      <c r="D36" s="38" t="n"/>
      <c r="E36" s="38" t="n"/>
      <c r="F36" s="38" t="n"/>
      <c r="G36" s="38" t="n"/>
      <c r="H36" s="38" t="n"/>
      <c r="I36" s="38" t="n"/>
      <c r="J36" s="38" t="n"/>
      <c r="K36" s="38" t="n"/>
      <c r="L36" s="38" t="n"/>
      <c r="M36" s="38" t="n"/>
      <c r="N36" s="38" t="n"/>
      <c r="O36" s="38" t="n"/>
      <c r="P36" s="38" t="n"/>
      <c r="Q36" s="38" t="n"/>
      <c r="R36" s="38" t="n"/>
      <c r="S36" s="38" t="n"/>
    </row>
    <row r="37" ht="20" customHeight="1">
      <c r="A37" s="45" t="inlineStr">
        <is>
          <t>SECTION C — IFPUG FUNCTION POINT (UFP) COUNT</t>
        </is>
      </c>
      <c r="K37" s="38" t="n"/>
      <c r="L37" s="38" t="n"/>
      <c r="M37" s="38" t="n"/>
      <c r="N37" s="38" t="n"/>
      <c r="O37" s="38" t="n"/>
      <c r="P37" s="38" t="n"/>
      <c r="Q37" s="38" t="n"/>
      <c r="R37" s="38" t="n"/>
      <c r="S37" s="38" t="n"/>
    </row>
    <row r="38" ht="16" customHeight="1">
      <c r="A38" s="85" t="inlineStr">
        <is>
          <t>Enter COUNT of each component at each complexity level (Low/Average/High). Refer to Guidance sheet for DET/FTR rules.</t>
        </is>
      </c>
      <c r="K38" s="38" t="n"/>
      <c r="L38" s="38" t="n"/>
      <c r="M38" s="38" t="n"/>
      <c r="N38" s="38" t="n"/>
      <c r="O38" s="38" t="n"/>
      <c r="P38" s="38" t="n"/>
      <c r="Q38" s="38" t="n"/>
      <c r="R38" s="38" t="n"/>
      <c r="S38" s="38" t="n"/>
    </row>
    <row r="39" ht="18" customHeight="1">
      <c r="A39" s="38" t="n"/>
      <c r="B39" s="86" t="inlineStr">
        <is>
          <t>Component</t>
        </is>
      </c>
      <c r="C39" s="86" t="inlineStr">
        <is>
          <t>Description</t>
        </is>
      </c>
      <c r="D39" s="86" t="inlineStr">
        <is>
          <t>Low Count</t>
        </is>
      </c>
      <c r="E39" s="86" t="inlineStr">
        <is>
          <t>Low Wt</t>
        </is>
      </c>
      <c r="F39" s="86" t="inlineStr">
        <is>
          <t>Avg Count</t>
        </is>
      </c>
      <c r="G39" s="86" t="inlineStr">
        <is>
          <t>Avg Wt</t>
        </is>
      </c>
      <c r="H39" s="86" t="inlineStr">
        <is>
          <t>High Count</t>
        </is>
      </c>
      <c r="I39" s="86" t="inlineStr">
        <is>
          <t>High Wt</t>
        </is>
      </c>
      <c r="J39" s="86" t="inlineStr">
        <is>
          <t>Sub-total UFP</t>
        </is>
      </c>
      <c r="K39" s="38" t="n"/>
      <c r="L39" s="38" t="n"/>
      <c r="M39" s="38" t="n"/>
      <c r="N39" s="38" t="n"/>
      <c r="O39" s="38" t="n"/>
      <c r="P39" s="38" t="n"/>
      <c r="Q39" s="38" t="n"/>
      <c r="R39" s="38" t="n"/>
      <c r="S39" s="38" t="n"/>
    </row>
    <row r="40" ht="18" customHeight="1">
      <c r="A40" s="38" t="n"/>
      <c r="B40" s="87" t="inlineStr">
        <is>
          <t>External Input (EI)</t>
        </is>
      </c>
      <c r="C40" s="88" t="inlineStr">
        <is>
          <t>Data entry updating ILF</t>
        </is>
      </c>
      <c r="D40" s="89" t="n">
        <v>0</v>
      </c>
      <c r="E40" s="90" t="n">
        <v>3</v>
      </c>
      <c r="F40" s="89" t="n">
        <v>0</v>
      </c>
      <c r="G40" s="90" t="n">
        <v>4</v>
      </c>
      <c r="H40" s="89" t="n">
        <v>0</v>
      </c>
      <c r="I40" s="90" t="n">
        <v>6</v>
      </c>
      <c r="J40" s="68">
        <f>D40*E40+F40*G40+H40*I40</f>
        <v/>
      </c>
      <c r="K40" s="38" t="n"/>
      <c r="L40" s="38" t="n"/>
      <c r="M40" s="38" t="n"/>
      <c r="N40" s="38" t="n"/>
      <c r="O40" s="38" t="n"/>
      <c r="P40" s="38" t="n"/>
      <c r="Q40" s="38" t="n"/>
      <c r="R40" s="38" t="n"/>
      <c r="S40" s="38" t="n"/>
    </row>
    <row r="41" ht="18" customHeight="1">
      <c r="A41" s="38" t="n"/>
      <c r="B41" s="91" t="inlineStr">
        <is>
          <t>External Output (EO)</t>
        </is>
      </c>
      <c r="C41" s="71" t="inlineStr">
        <is>
          <t>Derived/processed output</t>
        </is>
      </c>
      <c r="D41" s="89" t="n">
        <v>0</v>
      </c>
      <c r="E41" s="92" t="n">
        <v>4</v>
      </c>
      <c r="F41" s="89" t="n">
        <v>0</v>
      </c>
      <c r="G41" s="92" t="n">
        <v>5</v>
      </c>
      <c r="H41" s="89" t="n">
        <v>0</v>
      </c>
      <c r="I41" s="92" t="n">
        <v>7</v>
      </c>
      <c r="J41" s="68">
        <f>D41*E41+F41*G41+H41*I41</f>
        <v/>
      </c>
      <c r="K41" s="38" t="n"/>
      <c r="L41" s="38" t="n"/>
      <c r="M41" s="38" t="n"/>
      <c r="N41" s="38" t="n"/>
      <c r="O41" s="38" t="n"/>
      <c r="P41" s="38" t="n"/>
      <c r="Q41" s="38" t="n"/>
      <c r="R41" s="38" t="n"/>
      <c r="S41" s="38" t="n"/>
    </row>
    <row r="42" ht="18" customHeight="1">
      <c r="A42" s="38" t="n"/>
      <c r="B42" s="87" t="inlineStr">
        <is>
          <t>External Inquiry (EQ)</t>
        </is>
      </c>
      <c r="C42" s="88" t="inlineStr">
        <is>
          <t>Read-only retrieval</t>
        </is>
      </c>
      <c r="D42" s="89" t="n">
        <v>0</v>
      </c>
      <c r="E42" s="90" t="n">
        <v>3</v>
      </c>
      <c r="F42" s="89" t="n">
        <v>0</v>
      </c>
      <c r="G42" s="90" t="n">
        <v>4</v>
      </c>
      <c r="H42" s="89" t="n">
        <v>0</v>
      </c>
      <c r="I42" s="90" t="n">
        <v>6</v>
      </c>
      <c r="J42" s="68">
        <f>D42*E42+F42*G42+H42*I42</f>
        <v/>
      </c>
      <c r="K42" s="38" t="n"/>
      <c r="L42" s="38" t="n"/>
      <c r="M42" s="38" t="n"/>
      <c r="N42" s="38" t="n"/>
      <c r="O42" s="38" t="n"/>
      <c r="P42" s="38" t="n"/>
      <c r="Q42" s="38" t="n"/>
      <c r="R42" s="38" t="n"/>
      <c r="S42" s="38" t="n"/>
    </row>
    <row r="43" ht="18" customHeight="1">
      <c r="A43" s="38" t="n"/>
      <c r="B43" s="91" t="inlineStr">
        <is>
          <t>Internal Logical File (ILF)</t>
        </is>
      </c>
      <c r="C43" s="71" t="inlineStr">
        <is>
          <t>Data group maintained internally</t>
        </is>
      </c>
      <c r="D43" s="89" t="n">
        <v>0</v>
      </c>
      <c r="E43" s="92" t="n">
        <v>7</v>
      </c>
      <c r="F43" s="89" t="n">
        <v>0</v>
      </c>
      <c r="G43" s="92" t="n">
        <v>10</v>
      </c>
      <c r="H43" s="89" t="n">
        <v>0</v>
      </c>
      <c r="I43" s="92" t="n">
        <v>15</v>
      </c>
      <c r="J43" s="68">
        <f>D43*E43+F43*G43+H43*I43</f>
        <v/>
      </c>
      <c r="K43" s="38" t="n"/>
      <c r="L43" s="38" t="n"/>
      <c r="M43" s="38" t="n"/>
      <c r="N43" s="38" t="n"/>
      <c r="O43" s="38" t="n"/>
      <c r="P43" s="38" t="n"/>
      <c r="Q43" s="38" t="n"/>
      <c r="R43" s="38" t="n"/>
      <c r="S43" s="38" t="n"/>
    </row>
    <row r="44" ht="18" customHeight="1">
      <c r="A44" s="38" t="n"/>
      <c r="B44" s="87" t="inlineStr">
        <is>
          <t>External Interface File (EIF)</t>
        </is>
      </c>
      <c r="C44" s="88" t="inlineStr">
        <is>
          <t>External data group read-only</t>
        </is>
      </c>
      <c r="D44" s="89" t="n">
        <v>0</v>
      </c>
      <c r="E44" s="90" t="n">
        <v>5</v>
      </c>
      <c r="F44" s="89" t="n">
        <v>0</v>
      </c>
      <c r="G44" s="90" t="n">
        <v>7</v>
      </c>
      <c r="H44" s="89" t="n">
        <v>0</v>
      </c>
      <c r="I44" s="90" t="n">
        <v>10</v>
      </c>
      <c r="J44" s="68">
        <f>D44*E44+F44*G44+H44*I44</f>
        <v/>
      </c>
      <c r="K44" s="38" t="n"/>
      <c r="L44" s="38" t="n"/>
      <c r="M44" s="38" t="n"/>
      <c r="N44" s="38" t="n"/>
      <c r="O44" s="38" t="n"/>
      <c r="P44" s="38" t="n"/>
      <c r="Q44" s="38" t="n"/>
      <c r="R44" s="38" t="n"/>
      <c r="S44" s="38" t="n"/>
    </row>
    <row r="45" ht="22" customHeight="1">
      <c r="A45" s="38" t="n"/>
      <c r="B45" s="93" t="inlineStr">
        <is>
          <t>TOTAL UFP (Unadjusted)</t>
        </is>
      </c>
      <c r="C45" s="94" t="inlineStr"/>
      <c r="J45" s="95">
        <f>SUM(J40:J44)</f>
        <v/>
      </c>
      <c r="K45" s="38" t="n"/>
      <c r="L45" s="38" t="n"/>
      <c r="M45" s="38" t="n"/>
      <c r="N45" s="38" t="n"/>
      <c r="O45" s="38" t="n"/>
      <c r="P45" s="38" t="n"/>
      <c r="Q45" s="38" t="n"/>
      <c r="R45" s="38" t="n"/>
      <c r="S45" s="38" t="n"/>
    </row>
    <row r="46" ht="18" customHeight="1">
      <c r="A46" s="38" t="n"/>
      <c r="B46" s="96" t="inlineStr">
        <is>
          <t>Adjusted FP (UFP × VAF) — skip if VAF not used</t>
        </is>
      </c>
      <c r="C46" s="38" t="n"/>
      <c r="D46" s="97" t="n">
        <v>39</v>
      </c>
      <c r="E46" s="98" t="inlineStr">
        <is>
          <t>Sum of 14 GSCs (0–70 range; 39=neutral)</t>
        </is>
      </c>
      <c r="F46" s="99">
        <f>0.65+0.01*D46</f>
        <v/>
      </c>
      <c r="G46" s="98" t="inlineStr">
        <is>
          <t>VAF factor</t>
        </is>
      </c>
      <c r="H46" s="38" t="n"/>
      <c r="I46" s="38" t="n"/>
      <c r="J46" s="100">
        <f>J45*F46</f>
        <v/>
      </c>
      <c r="K46" s="38" t="n"/>
      <c r="L46" s="38" t="n"/>
      <c r="M46" s="38" t="n"/>
      <c r="N46" s="38" t="n"/>
      <c r="O46" s="38" t="n"/>
      <c r="P46" s="38" t="n"/>
      <c r="Q46" s="38" t="n"/>
      <c r="R46" s="38" t="n"/>
      <c r="S46" s="38" t="n"/>
    </row>
    <row r="47">
      <c r="A47" s="38" t="n"/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8" t="n"/>
      <c r="M47" s="38" t="n"/>
      <c r="N47" s="38" t="n"/>
      <c r="O47" s="38" t="n"/>
      <c r="P47" s="38" t="n"/>
      <c r="Q47" s="38" t="n"/>
      <c r="R47" s="38" t="n"/>
      <c r="S47" s="38" t="n"/>
    </row>
    <row r="48" ht="8" customHeight="1">
      <c r="A48" s="38" t="n"/>
      <c r="B48" s="38" t="n"/>
      <c r="C48" s="38" t="n"/>
      <c r="D48" s="38" t="n"/>
      <c r="E48" s="38" t="n"/>
      <c r="F48" s="38" t="n"/>
      <c r="G48" s="38" t="n"/>
      <c r="H48" s="38" t="n"/>
      <c r="I48" s="38" t="n"/>
      <c r="J48" s="38" t="n"/>
      <c r="K48" s="38" t="n"/>
      <c r="L48" s="38" t="n"/>
      <c r="M48" s="38" t="n"/>
      <c r="N48" s="38" t="n"/>
      <c r="O48" s="38" t="n"/>
      <c r="P48" s="38" t="n"/>
      <c r="Q48" s="38" t="n"/>
      <c r="R48" s="38" t="n"/>
      <c r="S48" s="38" t="n"/>
    </row>
    <row r="49" ht="20" customHeight="1">
      <c r="A49" s="47" t="inlineStr">
        <is>
          <t>SECTION D — ERP / SAP CONFIGURATION (Config Points — Non-IFPUG Layer)</t>
        </is>
      </c>
      <c r="K49" s="38" t="n"/>
      <c r="L49" s="38" t="n"/>
      <c r="M49" s="38" t="n"/>
      <c r="N49" s="38" t="n"/>
      <c r="O49" s="38" t="n"/>
      <c r="P49" s="38" t="n"/>
      <c r="Q49" s="38" t="n"/>
      <c r="R49" s="38" t="n"/>
      <c r="S49" s="38" t="n"/>
    </row>
    <row r="50" ht="16" customHeight="1">
      <c r="A50" s="101" t="inlineStr">
        <is>
          <t>For ERP implementations: Configuration work is NOT counted in IFPUG. Use Configuration Points (1 CP = 1 consultant-day = 8 hrs).</t>
        </is>
      </c>
      <c r="K50" s="38" t="n"/>
      <c r="L50" s="38" t="n"/>
      <c r="M50" s="38" t="n"/>
      <c r="N50" s="38" t="n"/>
      <c r="O50" s="38" t="n"/>
      <c r="P50" s="38" t="n"/>
      <c r="Q50" s="38" t="n"/>
      <c r="R50" s="38" t="n"/>
      <c r="S50" s="38" t="n"/>
    </row>
    <row r="51" ht="18" customHeight="1">
      <c r="A51" s="38" t="n"/>
      <c r="B51" s="102" t="inlineStr">
        <is>
          <t>Configuration Area</t>
        </is>
      </c>
      <c r="C51" s="102" t="inlineStr">
        <is>
          <t>Scope Description</t>
        </is>
      </c>
      <c r="D51" s="102" t="inlineStr">
        <is>
          <t>Est. Config Points</t>
        </is>
      </c>
      <c r="E51" s="102" t="inlineStr">
        <is>
          <t>Effort (Days)</t>
        </is>
      </c>
      <c r="F51" s="102" t="inlineStr">
        <is>
          <t>Consultant Rate/Day (₹)</t>
        </is>
      </c>
      <c r="G51" s="102" t="inlineStr">
        <is>
          <t>Cost (₹ Lakhs)</t>
        </is>
      </c>
      <c r="H51" s="38" t="n"/>
      <c r="I51" s="38" t="n"/>
      <c r="J51" s="38" t="n"/>
      <c r="K51" s="38" t="n"/>
      <c r="L51" s="38" t="n"/>
      <c r="M51" s="38" t="n"/>
      <c r="N51" s="38" t="n"/>
      <c r="O51" s="38" t="n"/>
      <c r="P51" s="38" t="n"/>
      <c r="Q51" s="38" t="n"/>
      <c r="R51" s="38" t="n"/>
      <c r="S51" s="38" t="n"/>
    </row>
    <row r="52" ht="16" customHeight="1">
      <c r="A52" s="38" t="n"/>
      <c r="B52" s="103" t="inlineStr">
        <is>
          <t>Enterprise Structure (Company codes, CoA, Fiscal year)</t>
        </is>
      </c>
      <c r="C52" s="104" t="inlineStr"/>
      <c r="D52" s="105" t="n">
        <v>0</v>
      </c>
      <c r="E52" s="106">
        <f>D52</f>
        <v/>
      </c>
      <c r="F52" s="107" t="n">
        <v>35000</v>
      </c>
      <c r="G52" s="108">
        <f>IF(D52=0,0,D52*F52/100000)</f>
        <v/>
      </c>
      <c r="H52" s="38" t="n"/>
      <c r="I52" s="38" t="n"/>
      <c r="J52" s="38" t="n"/>
      <c r="K52" s="38" t="n"/>
      <c r="L52" s="38" t="n"/>
      <c r="M52" s="38" t="n"/>
      <c r="N52" s="38" t="n"/>
      <c r="O52" s="38" t="n"/>
      <c r="P52" s="38" t="n"/>
      <c r="Q52" s="38" t="n"/>
      <c r="R52" s="38" t="n"/>
      <c r="S52" s="38" t="n"/>
    </row>
    <row r="53" ht="16" customHeight="1">
      <c r="A53" s="38" t="n"/>
      <c r="B53" s="109" t="inlineStr">
        <is>
          <t>General Ledger (GL account master, document types, posting)</t>
        </is>
      </c>
      <c r="C53" s="110" t="inlineStr"/>
      <c r="D53" s="105" t="n">
        <v>0</v>
      </c>
      <c r="E53" s="106">
        <f>D53</f>
        <v/>
      </c>
      <c r="F53" s="107" t="n">
        <v>35000</v>
      </c>
      <c r="G53" s="108">
        <f>IF(D53=0,0,D53*F53/100000)</f>
        <v/>
      </c>
      <c r="H53" s="38" t="n"/>
      <c r="I53" s="38" t="n"/>
      <c r="J53" s="38" t="n"/>
      <c r="K53" s="38" t="n"/>
      <c r="L53" s="38" t="n"/>
      <c r="M53" s="38" t="n"/>
      <c r="N53" s="38" t="n"/>
      <c r="O53" s="38" t="n"/>
      <c r="P53" s="38" t="n"/>
      <c r="Q53" s="38" t="n"/>
      <c r="R53" s="38" t="n"/>
      <c r="S53" s="38" t="n"/>
    </row>
    <row r="54" ht="16" customHeight="1">
      <c r="A54" s="38" t="n"/>
      <c r="B54" s="103" t="inlineStr">
        <is>
          <t>Accounts Payable (Vendor groups, payment program, house banks)</t>
        </is>
      </c>
      <c r="C54" s="104" t="inlineStr"/>
      <c r="D54" s="105" t="n">
        <v>0</v>
      </c>
      <c r="E54" s="106">
        <f>D54</f>
        <v/>
      </c>
      <c r="F54" s="107" t="n">
        <v>35000</v>
      </c>
      <c r="G54" s="108">
        <f>IF(D54=0,0,D54*F54/100000)</f>
        <v/>
      </c>
      <c r="H54" s="38" t="n"/>
      <c r="I54" s="38" t="n"/>
      <c r="J54" s="38" t="n"/>
      <c r="K54" s="38" t="n"/>
      <c r="L54" s="38" t="n"/>
      <c r="M54" s="38" t="n"/>
      <c r="N54" s="38" t="n"/>
      <c r="O54" s="38" t="n"/>
      <c r="P54" s="38" t="n"/>
      <c r="Q54" s="38" t="n"/>
      <c r="R54" s="38" t="n"/>
      <c r="S54" s="38" t="n"/>
    </row>
    <row r="55" ht="16" customHeight="1">
      <c r="A55" s="38" t="n"/>
      <c r="B55" s="109" t="inlineStr">
        <is>
          <t>Accounts Receivable (Customer groups, dunning, credit mgmt)</t>
        </is>
      </c>
      <c r="C55" s="110" t="inlineStr"/>
      <c r="D55" s="105" t="n">
        <v>0</v>
      </c>
      <c r="E55" s="106">
        <f>D55</f>
        <v/>
      </c>
      <c r="F55" s="107" t="n">
        <v>35000</v>
      </c>
      <c r="G55" s="108">
        <f>IF(D55=0,0,D55*F55/100000)</f>
        <v/>
      </c>
      <c r="H55" s="38" t="n"/>
      <c r="I55" s="38" t="n"/>
      <c r="J55" s="38" t="n"/>
      <c r="K55" s="38" t="n"/>
      <c r="L55" s="38" t="n"/>
      <c r="M55" s="38" t="n"/>
      <c r="N55" s="38" t="n"/>
      <c r="O55" s="38" t="n"/>
      <c r="P55" s="38" t="n"/>
      <c r="Q55" s="38" t="n"/>
      <c r="R55" s="38" t="n"/>
      <c r="S55" s="38" t="n"/>
    </row>
    <row r="56" ht="16" customHeight="1">
      <c r="A56" s="38" t="n"/>
      <c r="B56" s="103" t="inlineStr">
        <is>
          <t>Asset Accounting (Chart of depreciation, asset classes)</t>
        </is>
      </c>
      <c r="C56" s="104" t="inlineStr"/>
      <c r="D56" s="105" t="n">
        <v>0</v>
      </c>
      <c r="E56" s="106">
        <f>D56</f>
        <v/>
      </c>
      <c r="F56" s="107" t="n">
        <v>35000</v>
      </c>
      <c r="G56" s="108">
        <f>IF(D56=0,0,D56*F56/100000)</f>
        <v/>
      </c>
      <c r="H56" s="38" t="n"/>
      <c r="I56" s="38" t="n"/>
      <c r="J56" s="38" t="n"/>
      <c r="K56" s="38" t="n"/>
      <c r="L56" s="38" t="n"/>
      <c r="M56" s="38" t="n"/>
      <c r="N56" s="38" t="n"/>
      <c r="O56" s="38" t="n"/>
      <c r="P56" s="38" t="n"/>
      <c r="Q56" s="38" t="n"/>
      <c r="R56" s="38" t="n"/>
      <c r="S56" s="38" t="n"/>
    </row>
    <row r="57" ht="16" customHeight="1">
      <c r="A57" s="38" t="n"/>
      <c r="B57" s="109" t="inlineStr">
        <is>
          <t>Tax Configuration (GST/VAT codes, tax procedure)</t>
        </is>
      </c>
      <c r="C57" s="110" t="inlineStr"/>
      <c r="D57" s="105" t="n">
        <v>0</v>
      </c>
      <c r="E57" s="106">
        <f>D57</f>
        <v/>
      </c>
      <c r="F57" s="107" t="n">
        <v>35000</v>
      </c>
      <c r="G57" s="108">
        <f>IF(D57=0,0,D57*F57/100000)</f>
        <v/>
      </c>
      <c r="H57" s="38" t="n"/>
      <c r="I57" s="38" t="n"/>
      <c r="J57" s="38" t="n"/>
      <c r="K57" s="38" t="n"/>
      <c r="L57" s="38" t="n"/>
      <c r="M57" s="38" t="n"/>
      <c r="N57" s="38" t="n"/>
      <c r="O57" s="38" t="n"/>
      <c r="P57" s="38" t="n"/>
      <c r="Q57" s="38" t="n"/>
      <c r="R57" s="38" t="n"/>
      <c r="S57" s="38" t="n"/>
    </row>
    <row r="58" ht="16" customHeight="1">
      <c r="A58" s="38" t="n"/>
      <c r="B58" s="103" t="inlineStr">
        <is>
          <t>CO — Cost Center / Profit Center Accounting</t>
        </is>
      </c>
      <c r="C58" s="104" t="inlineStr"/>
      <c r="D58" s="105" t="n">
        <v>0</v>
      </c>
      <c r="E58" s="106">
        <f>D58</f>
        <v/>
      </c>
      <c r="F58" s="107" t="n">
        <v>35000</v>
      </c>
      <c r="G58" s="108">
        <f>IF(D58=0,0,D58*F58/100000)</f>
        <v/>
      </c>
      <c r="H58" s="38" t="n"/>
      <c r="I58" s="38" t="n"/>
      <c r="J58" s="38" t="n"/>
      <c r="K58" s="38" t="n"/>
      <c r="L58" s="38" t="n"/>
      <c r="M58" s="38" t="n"/>
      <c r="N58" s="38" t="n"/>
      <c r="O58" s="38" t="n"/>
      <c r="P58" s="38" t="n"/>
      <c r="Q58" s="38" t="n"/>
      <c r="R58" s="38" t="n"/>
      <c r="S58" s="38" t="n"/>
    </row>
    <row r="59" ht="16" customHeight="1">
      <c r="A59" s="38" t="n"/>
      <c r="B59" s="109" t="inlineStr">
        <is>
          <t>CO — Product Costing / Internal Orders</t>
        </is>
      </c>
      <c r="C59" s="110" t="inlineStr"/>
      <c r="D59" s="105" t="n">
        <v>0</v>
      </c>
      <c r="E59" s="106">
        <f>D59</f>
        <v/>
      </c>
      <c r="F59" s="107" t="n">
        <v>35000</v>
      </c>
      <c r="G59" s="108">
        <f>IF(D59=0,0,D59*F59/100000)</f>
        <v/>
      </c>
      <c r="H59" s="38" t="n"/>
      <c r="I59" s="38" t="n"/>
      <c r="J59" s="38" t="n"/>
      <c r="K59" s="38" t="n"/>
      <c r="L59" s="38" t="n"/>
      <c r="M59" s="38" t="n"/>
      <c r="N59" s="38" t="n"/>
      <c r="O59" s="38" t="n"/>
      <c r="P59" s="38" t="n"/>
      <c r="Q59" s="38" t="n"/>
      <c r="R59" s="38" t="n"/>
      <c r="S59" s="38" t="n"/>
    </row>
    <row r="60" ht="16" customHeight="1">
      <c r="A60" s="38" t="n"/>
      <c r="B60" s="103" t="inlineStr">
        <is>
          <t>Integration (FI-MM, FI-SD, FI-HR)</t>
        </is>
      </c>
      <c r="C60" s="104" t="inlineStr"/>
      <c r="D60" s="105" t="n">
        <v>0</v>
      </c>
      <c r="E60" s="106">
        <f>D60</f>
        <v/>
      </c>
      <c r="F60" s="107" t="n">
        <v>35000</v>
      </c>
      <c r="G60" s="108">
        <f>IF(D60=0,0,D60*F60/100000)</f>
        <v/>
      </c>
      <c r="H60" s="38" t="n"/>
      <c r="I60" s="38" t="n"/>
      <c r="J60" s="38" t="n"/>
      <c r="K60" s="38" t="n"/>
      <c r="L60" s="38" t="n"/>
      <c r="M60" s="38" t="n"/>
      <c r="N60" s="38" t="n"/>
      <c r="O60" s="38" t="n"/>
      <c r="P60" s="38" t="n"/>
      <c r="Q60" s="38" t="n"/>
      <c r="R60" s="38" t="n"/>
      <c r="S60" s="38" t="n"/>
    </row>
    <row r="61" ht="16" customHeight="1">
      <c r="A61" s="38" t="n"/>
      <c r="B61" s="109" t="inlineStr">
        <is>
          <t>Authorizations &amp; Roles</t>
        </is>
      </c>
      <c r="C61" s="110" t="inlineStr"/>
      <c r="D61" s="105" t="n">
        <v>0</v>
      </c>
      <c r="E61" s="106">
        <f>D61</f>
        <v/>
      </c>
      <c r="F61" s="107" t="n">
        <v>35000</v>
      </c>
      <c r="G61" s="108">
        <f>IF(D61=0,0,D61*F61/100000)</f>
        <v/>
      </c>
      <c r="H61" s="38" t="n"/>
      <c r="I61" s="38" t="n"/>
      <c r="J61" s="38" t="n"/>
      <c r="K61" s="38" t="n"/>
      <c r="L61" s="38" t="n"/>
      <c r="M61" s="38" t="n"/>
      <c r="N61" s="38" t="n"/>
      <c r="O61" s="38" t="n"/>
      <c r="P61" s="38" t="n"/>
      <c r="Q61" s="38" t="n"/>
      <c r="R61" s="38" t="n"/>
      <c r="S61" s="38" t="n"/>
    </row>
    <row r="62" ht="16" customHeight="1">
      <c r="A62" s="38" t="n"/>
      <c r="B62" s="103" t="inlineStr">
        <is>
          <t>Other (add rows as needed)</t>
        </is>
      </c>
      <c r="C62" s="104" t="inlineStr"/>
      <c r="D62" s="105" t="n">
        <v>0</v>
      </c>
      <c r="E62" s="106">
        <f>D62</f>
        <v/>
      </c>
      <c r="F62" s="107" t="n">
        <v>35000</v>
      </c>
      <c r="G62" s="108">
        <f>IF(D62=0,0,D62*F62/100000)</f>
        <v/>
      </c>
      <c r="H62" s="38" t="n"/>
      <c r="I62" s="38" t="n"/>
      <c r="J62" s="38" t="n"/>
      <c r="K62" s="38" t="n"/>
      <c r="L62" s="38" t="n"/>
      <c r="M62" s="38" t="n"/>
      <c r="N62" s="38" t="n"/>
      <c r="O62" s="38" t="n"/>
      <c r="P62" s="38" t="n"/>
      <c r="Q62" s="38" t="n"/>
      <c r="R62" s="38" t="n"/>
      <c r="S62" s="38" t="n"/>
    </row>
    <row r="63" ht="22" customHeight="1">
      <c r="A63" s="38" t="n"/>
      <c r="B63" s="111" t="inlineStr">
        <is>
          <t>TOTAL CONFIG POINTS</t>
        </is>
      </c>
      <c r="C63" s="112" t="inlineStr"/>
      <c r="D63" s="113">
        <f>SUM(D52:D62)</f>
        <v/>
      </c>
      <c r="E63" s="114">
        <f>SUM(E52:E62)</f>
        <v/>
      </c>
      <c r="F63" s="112" t="inlineStr"/>
      <c r="G63" s="115">
        <f>SUM(G52:G62)</f>
        <v/>
      </c>
      <c r="H63" s="38" t="n"/>
      <c r="I63" s="38" t="n"/>
      <c r="J63" s="38" t="n"/>
      <c r="K63" s="38" t="n"/>
      <c r="L63" s="38" t="n"/>
      <c r="M63" s="38" t="n"/>
      <c r="N63" s="38" t="n"/>
      <c r="O63" s="38" t="n"/>
      <c r="P63" s="38" t="n"/>
      <c r="Q63" s="38" t="n"/>
      <c r="R63" s="38" t="n"/>
      <c r="S63" s="38" t="n"/>
    </row>
    <row r="64">
      <c r="A64" s="38" t="n"/>
      <c r="B64" s="38" t="n"/>
      <c r="C64" s="38" t="n"/>
      <c r="D64" s="38" t="n"/>
      <c r="E64" s="38" t="n"/>
      <c r="F64" s="38" t="n"/>
      <c r="G64" s="38" t="n"/>
      <c r="H64" s="38" t="n"/>
      <c r="I64" s="38" t="n"/>
      <c r="J64" s="38" t="n"/>
      <c r="K64" s="38" t="n"/>
      <c r="L64" s="38" t="n"/>
      <c r="M64" s="38" t="n"/>
      <c r="N64" s="38" t="n"/>
      <c r="O64" s="38" t="n"/>
      <c r="P64" s="38" t="n"/>
      <c r="Q64" s="38" t="n"/>
      <c r="R64" s="38" t="n"/>
      <c r="S64" s="38" t="n"/>
    </row>
    <row r="65" ht="8" customHeight="1">
      <c r="A65" s="38" t="n"/>
      <c r="B65" s="38" t="n"/>
      <c r="C65" s="38" t="n"/>
      <c r="D65" s="38" t="n"/>
      <c r="E65" s="38" t="n"/>
      <c r="F65" s="38" t="n"/>
      <c r="G65" s="38" t="n"/>
      <c r="H65" s="38" t="n"/>
      <c r="I65" s="38" t="n"/>
      <c r="J65" s="38" t="n"/>
      <c r="K65" s="38" t="n"/>
      <c r="L65" s="38" t="n"/>
      <c r="M65" s="38" t="n"/>
      <c r="N65" s="38" t="n"/>
      <c r="O65" s="38" t="n"/>
      <c r="P65" s="38" t="n"/>
      <c r="Q65" s="38" t="n"/>
      <c r="R65" s="38" t="n"/>
      <c r="S65" s="38" t="n"/>
    </row>
    <row r="66" ht="22" customHeight="1">
      <c r="A66" s="49" t="inlineStr">
        <is>
          <t>SECTION E — ESTIMATION SUMMARY &amp; OUTPUTS</t>
        </is>
      </c>
      <c r="K66" s="38" t="n"/>
      <c r="L66" s="38" t="n"/>
      <c r="M66" s="38" t="n"/>
      <c r="N66" s="38" t="n"/>
      <c r="O66" s="38" t="n"/>
      <c r="P66" s="38" t="n"/>
      <c r="Q66" s="38" t="n"/>
      <c r="R66" s="38" t="n"/>
      <c r="S66" s="38" t="n"/>
    </row>
    <row r="67" ht="16" customHeight="1">
      <c r="A67" s="62" t="inlineStr">
        <is>
          <t>All values auto-calculated from inputs above. Override productivity rate (yellow) with your historical data for better accuracy.</t>
        </is>
      </c>
      <c r="K67" s="38" t="n"/>
      <c r="L67" s="38" t="n"/>
      <c r="M67" s="38" t="n"/>
      <c r="N67" s="38" t="n"/>
      <c r="O67" s="38" t="n"/>
      <c r="P67" s="38" t="n"/>
      <c r="Q67" s="38" t="n"/>
      <c r="R67" s="38" t="n"/>
      <c r="S67" s="38" t="n"/>
    </row>
    <row r="68" ht="18" customHeight="1">
      <c r="A68" s="38" t="n"/>
      <c r="B68" s="116" t="inlineStr">
        <is>
          <t>Metric</t>
        </is>
      </c>
      <c r="C68" s="116" t="inlineStr">
        <is>
          <t>Simple FP (SFP)</t>
        </is>
      </c>
      <c r="D68" s="116" t="inlineStr">
        <is>
          <t>COSMIC FP (CFP)</t>
        </is>
      </c>
      <c r="E68" s="116" t="inlineStr">
        <is>
          <t>IFPUG UFP</t>
        </is>
      </c>
      <c r="F68" s="116" t="inlineStr">
        <is>
          <t>ERP Hybrid Total</t>
        </is>
      </c>
      <c r="G68" s="116" t="inlineStr">
        <is>
          <t>Notes</t>
        </is>
      </c>
      <c r="H68" s="38" t="n"/>
      <c r="I68" s="38" t="n"/>
      <c r="J68" s="38" t="n"/>
      <c r="K68" s="38" t="n"/>
      <c r="L68" s="38" t="n"/>
      <c r="M68" s="38" t="n"/>
      <c r="N68" s="38" t="n"/>
      <c r="O68" s="38" t="n"/>
      <c r="P68" s="38" t="n"/>
      <c r="Q68" s="38" t="n"/>
      <c r="R68" s="38" t="n"/>
      <c r="S68" s="38" t="n"/>
    </row>
    <row r="69" ht="18" customHeight="1">
      <c r="A69" s="38" t="n"/>
      <c r="B69" s="58" t="inlineStr">
        <is>
          <t>FP Size</t>
        </is>
      </c>
      <c r="C69" s="117">
        <f>F24</f>
        <v/>
      </c>
      <c r="D69" s="117">
        <f>E34</f>
        <v/>
      </c>
      <c r="E69" s="117">
        <f>J45</f>
        <v/>
      </c>
      <c r="F69" s="118">
        <f>J45&amp;" UFP + "&amp;D63&amp;" CPs"</f>
        <v/>
      </c>
      <c r="G69" s="119" t="inlineStr"/>
      <c r="H69" s="38" t="n"/>
      <c r="I69" s="38" t="n"/>
      <c r="J69" s="38" t="n"/>
      <c r="K69" s="38" t="n"/>
      <c r="L69" s="38" t="n"/>
      <c r="M69" s="38" t="n"/>
      <c r="N69" s="38" t="n"/>
      <c r="O69" s="38" t="n"/>
      <c r="P69" s="38" t="n"/>
      <c r="Q69" s="38" t="n"/>
      <c r="R69" s="38" t="n"/>
      <c r="S69" s="38" t="n"/>
    </row>
    <row r="70" ht="18" customHeight="1">
      <c r="A70" s="38" t="n"/>
      <c r="B70" s="120" t="inlineStr">
        <is>
          <t>Productivity Rate (hrs/FP)</t>
        </is>
      </c>
      <c r="C70" s="97" t="n">
        <v>10</v>
      </c>
      <c r="D70" s="97" t="n">
        <v>18</v>
      </c>
      <c r="E70" s="97" t="n">
        <v>12</v>
      </c>
      <c r="F70" s="96" t="inlineStr">
        <is>
          <t>8 hrs/Config Point (override in yellow)</t>
        </is>
      </c>
      <c r="G70" s="121" t="inlineStr">
        <is>
          <t>★ OVERRIDE these with your org's historical rates</t>
        </is>
      </c>
      <c r="H70" s="38" t="n"/>
      <c r="I70" s="38" t="n"/>
      <c r="J70" s="38" t="n"/>
      <c r="K70" s="38" t="n"/>
      <c r="L70" s="38" t="n"/>
      <c r="M70" s="38" t="n"/>
      <c r="N70" s="38" t="n"/>
      <c r="O70" s="38" t="n"/>
      <c r="P70" s="38" t="n"/>
      <c r="Q70" s="38" t="n"/>
      <c r="R70" s="38" t="n"/>
      <c r="S70" s="38" t="n"/>
    </row>
    <row r="71" ht="18" customHeight="1">
      <c r="A71" s="38" t="n"/>
      <c r="B71" s="58" t="inlineStr">
        <is>
          <t>Total Effort (Person-Hours)</t>
        </is>
      </c>
      <c r="C71" s="117">
        <f>C69*C70</f>
        <v/>
      </c>
      <c r="D71" s="117">
        <f>D69*D70</f>
        <v/>
      </c>
      <c r="E71" s="117">
        <f>E69*E70</f>
        <v/>
      </c>
      <c r="F71" s="117">
        <f>E69*E70+D63*8</f>
        <v/>
      </c>
      <c r="G71" s="119" t="inlineStr"/>
      <c r="H71" s="38" t="n"/>
      <c r="I71" s="38" t="n"/>
      <c r="J71" s="38" t="n"/>
      <c r="K71" s="38" t="n"/>
      <c r="L71" s="38" t="n"/>
      <c r="M71" s="38" t="n"/>
      <c r="N71" s="38" t="n"/>
      <c r="O71" s="38" t="n"/>
      <c r="P71" s="38" t="n"/>
      <c r="Q71" s="38" t="n"/>
      <c r="R71" s="38" t="n"/>
      <c r="S71" s="38" t="n"/>
    </row>
    <row r="72" ht="18" customHeight="1">
      <c r="A72" s="38" t="n"/>
      <c r="B72" s="58" t="inlineStr">
        <is>
          <t>Person-Months (÷ 160 hrs)</t>
        </is>
      </c>
      <c r="C72" s="122">
        <f>ROUND(C71/160,1)</f>
        <v/>
      </c>
      <c r="D72" s="122">
        <f>ROUND(D71/160,1)</f>
        <v/>
      </c>
      <c r="E72" s="122">
        <f>ROUND(E71/160,1)</f>
        <v/>
      </c>
      <c r="F72" s="122">
        <f>ROUND(F71/160,1)</f>
        <v/>
      </c>
      <c r="G72" s="123" t="inlineStr">
        <is>
          <t>@ 160 hrs/month standard</t>
        </is>
      </c>
      <c r="H72" s="38" t="n"/>
      <c r="I72" s="38" t="n"/>
      <c r="J72" s="38" t="n"/>
      <c r="K72" s="38" t="n"/>
      <c r="L72" s="38" t="n"/>
      <c r="M72" s="38" t="n"/>
      <c r="N72" s="38" t="n"/>
      <c r="O72" s="38" t="n"/>
      <c r="P72" s="38" t="n"/>
      <c r="Q72" s="38" t="n"/>
      <c r="R72" s="38" t="n"/>
      <c r="S72" s="38" t="n"/>
    </row>
    <row r="73" ht="18" customHeight="1">
      <c r="A73" s="38" t="n"/>
      <c r="B73" s="58" t="inlineStr">
        <is>
          <t>Est. Team Size (suggested)</t>
        </is>
      </c>
      <c r="C73" s="122">
        <f>IFERROR(ROUND(C71/( MAX(C72,1)*160*0.8),1),"—")</f>
        <v/>
      </c>
      <c r="D73" s="122">
        <f>IFERROR(ROUND(D71/(MAX(D72,1)*160*0.8),1),"—")</f>
        <v/>
      </c>
      <c r="E73" s="122">
        <f>IFERROR(ROUND(E71/(MAX(E72,1)*160*0.8),1),"—")</f>
        <v/>
      </c>
      <c r="F73" s="122">
        <f>IFERROR(ROUND(F71/(MAX(F72,1)*160*0.8),1),"—")</f>
        <v/>
      </c>
      <c r="G73" s="123" t="inlineStr">
        <is>
          <t>Assume 80% utilisation</t>
        </is>
      </c>
      <c r="H73" s="38" t="n"/>
      <c r="I73" s="38" t="n"/>
      <c r="J73" s="38" t="n"/>
      <c r="K73" s="38" t="n"/>
      <c r="L73" s="38" t="n"/>
      <c r="M73" s="38" t="n"/>
      <c r="N73" s="38" t="n"/>
      <c r="O73" s="38" t="n"/>
      <c r="P73" s="38" t="n"/>
      <c r="Q73" s="38" t="n"/>
      <c r="R73" s="38" t="n"/>
      <c r="S73" s="38" t="n"/>
    </row>
    <row r="74" ht="18" customHeight="1">
      <c r="A74" s="38" t="n"/>
      <c r="B74" s="124" t="inlineStr">
        <is>
          <t>Cost Rate (₹/hr — Offshore India)</t>
        </is>
      </c>
      <c r="C74" s="125" t="n">
        <v>1600</v>
      </c>
      <c r="D74" s="125" t="n">
        <v>1800</v>
      </c>
      <c r="E74" s="125" t="n">
        <v>2000</v>
      </c>
      <c r="F74" s="125" t="n">
        <v>1800</v>
      </c>
      <c r="G74" s="126" t="inlineStr">
        <is>
          <t>★ CHANGE based on your team's blended rate</t>
        </is>
      </c>
      <c r="H74" s="38" t="n"/>
      <c r="I74" s="38" t="n"/>
      <c r="J74" s="38" t="n"/>
      <c r="K74" s="38" t="n"/>
      <c r="L74" s="38" t="n"/>
      <c r="M74" s="38" t="n"/>
      <c r="N74" s="38" t="n"/>
      <c r="O74" s="38" t="n"/>
      <c r="P74" s="38" t="n"/>
      <c r="Q74" s="38" t="n"/>
      <c r="R74" s="38" t="n"/>
      <c r="S74" s="38" t="n"/>
    </row>
    <row r="75" ht="18" customHeight="1">
      <c r="A75" s="38" t="n"/>
      <c r="B75" s="58" t="inlineStr">
        <is>
          <t>Total Cost — Offshore India (₹ Lakhs)</t>
        </is>
      </c>
      <c r="C75" s="127">
        <f>ROUND(C71*C74/100000,2)</f>
        <v/>
      </c>
      <c r="D75" s="127">
        <f>ROUND(D71*D74/100000,2)</f>
        <v/>
      </c>
      <c r="E75" s="127">
        <f>ROUND(E71*E74/100000,2)</f>
        <v/>
      </c>
      <c r="F75" s="127">
        <f>ROUND(F71*F74/100000,2)</f>
        <v/>
      </c>
      <c r="G75" s="123" t="inlineStr">
        <is>
          <t>Indicative — refer Benchmarks sheet</t>
        </is>
      </c>
      <c r="H75" s="38" t="n"/>
      <c r="I75" s="38" t="n"/>
      <c r="J75" s="38" t="n"/>
      <c r="K75" s="38" t="n"/>
      <c r="L75" s="38" t="n"/>
      <c r="M75" s="38" t="n"/>
      <c r="N75" s="38" t="n"/>
      <c r="O75" s="38" t="n"/>
      <c r="P75" s="38" t="n"/>
      <c r="Q75" s="38" t="n"/>
      <c r="R75" s="38" t="n"/>
      <c r="S75" s="38" t="n"/>
    </row>
    <row r="76" ht="18" customHeight="1">
      <c r="A76" s="38" t="n"/>
      <c r="B76" s="58" t="inlineStr">
        <is>
          <t>Total Cost — Onshore India (₹ Lakhs)</t>
        </is>
      </c>
      <c r="C76" s="127">
        <f>ROUND(C71*C74*2/100000,2)</f>
        <v/>
      </c>
      <c r="D76" s="127">
        <f>ROUND(D71*D74*2/100000,2)</f>
        <v/>
      </c>
      <c r="E76" s="127">
        <f>ROUND(E71*E74*2/100000,2)</f>
        <v/>
      </c>
      <c r="F76" s="127">
        <f>ROUND(F71*F74*2/100000,2)</f>
        <v/>
      </c>
      <c r="G76" s="38" t="n"/>
      <c r="H76" s="38" t="n"/>
      <c r="I76" s="38" t="n"/>
      <c r="J76" s="38" t="n"/>
      <c r="K76" s="38" t="n"/>
      <c r="L76" s="38" t="n"/>
      <c r="M76" s="38" t="n"/>
      <c r="N76" s="38" t="n"/>
      <c r="O76" s="38" t="n"/>
      <c r="P76" s="38" t="n"/>
      <c r="Q76" s="38" t="n"/>
      <c r="R76" s="38" t="n"/>
      <c r="S76" s="38" t="n"/>
    </row>
    <row r="77" ht="18" customHeight="1">
      <c r="A77" s="38" t="n"/>
      <c r="B77" s="58" t="inlineStr">
        <is>
          <t>Total Cost — USD (at $12/hr offshore)</t>
        </is>
      </c>
      <c r="C77" s="128">
        <f>ROUND(C71*12,0)</f>
        <v/>
      </c>
      <c r="D77" s="128">
        <f>ROUND(D71*12,0)</f>
        <v/>
      </c>
      <c r="E77" s="128">
        <f>ROUND(E71*12,0)</f>
        <v/>
      </c>
      <c r="F77" s="128">
        <f>ROUND(F71*12,0)</f>
        <v/>
      </c>
      <c r="G77" s="38" t="n"/>
      <c r="H77" s="38" t="n"/>
      <c r="I77" s="38" t="n"/>
      <c r="J77" s="38" t="n"/>
      <c r="K77" s="38" t="n"/>
      <c r="L77" s="38" t="n"/>
      <c r="M77" s="38" t="n"/>
      <c r="N77" s="38" t="n"/>
      <c r="O77" s="38" t="n"/>
      <c r="P77" s="38" t="n"/>
      <c r="Q77" s="38" t="n"/>
      <c r="R77" s="38" t="n"/>
      <c r="S77" s="38" t="n"/>
    </row>
    <row r="78">
      <c r="A78" s="38" t="n"/>
      <c r="B78" s="38" t="n"/>
      <c r="C78" s="38" t="n"/>
      <c r="D78" s="38" t="n"/>
      <c r="E78" s="38" t="n"/>
      <c r="F78" s="38" t="n"/>
      <c r="G78" s="38" t="n"/>
      <c r="H78" s="38" t="n"/>
      <c r="I78" s="38" t="n"/>
      <c r="J78" s="38" t="n"/>
      <c r="K78" s="38" t="n"/>
      <c r="L78" s="38" t="n"/>
      <c r="M78" s="38" t="n"/>
      <c r="N78" s="38" t="n"/>
      <c r="O78" s="38" t="n"/>
      <c r="P78" s="38" t="n"/>
      <c r="Q78" s="38" t="n"/>
      <c r="R78" s="38" t="n"/>
      <c r="S78" s="38" t="n"/>
    </row>
    <row r="79" ht="8" customHeight="1">
      <c r="A79" s="38" t="n"/>
      <c r="B79" s="38" t="n"/>
      <c r="C79" s="38" t="n"/>
      <c r="D79" s="38" t="n"/>
      <c r="E79" s="38" t="n"/>
      <c r="F79" s="38" t="n"/>
      <c r="G79" s="38" t="n"/>
      <c r="H79" s="38" t="n"/>
      <c r="I79" s="38" t="n"/>
      <c r="J79" s="38" t="n"/>
      <c r="K79" s="38" t="n"/>
      <c r="L79" s="38" t="n"/>
      <c r="M79" s="38" t="n"/>
      <c r="N79" s="38" t="n"/>
      <c r="O79" s="38" t="n"/>
      <c r="P79" s="38" t="n"/>
      <c r="Q79" s="38" t="n"/>
      <c r="R79" s="38" t="n"/>
      <c r="S79" s="38" t="n"/>
    </row>
    <row r="80" ht="22" customHeight="1">
      <c r="A80" s="129" t="inlineStr">
        <is>
          <t>⚠️ ACCURACY NOTE: SFP ±25-30%  |  COSMIC ±15-20%  |  IFPUG ±10-15%  |  Always calibrate rates against your organization's historical project data before use.</t>
        </is>
      </c>
      <c r="K80" s="38" t="n"/>
      <c r="L80" s="38" t="n"/>
      <c r="M80" s="38" t="n"/>
      <c r="N80" s="38" t="n"/>
      <c r="O80" s="38" t="n"/>
      <c r="P80" s="38" t="n"/>
      <c r="Q80" s="38" t="n"/>
      <c r="R80" s="38" t="n"/>
      <c r="S80" s="38" t="n"/>
    </row>
    <row r="81">
      <c r="A81" s="38" t="n"/>
      <c r="B81" s="38" t="n"/>
      <c r="C81" s="38" t="n"/>
      <c r="D81" s="38" t="n"/>
      <c r="E81" s="38" t="n"/>
      <c r="F81" s="38" t="n"/>
      <c r="G81" s="38" t="n"/>
      <c r="H81" s="38" t="n"/>
      <c r="I81" s="38" t="n"/>
      <c r="J81" s="38" t="n"/>
      <c r="K81" s="38" t="n"/>
      <c r="L81" s="38" t="n"/>
      <c r="M81" s="38" t="n"/>
      <c r="N81" s="38" t="n"/>
      <c r="O81" s="38" t="n"/>
      <c r="P81" s="38" t="n"/>
      <c r="Q81" s="38" t="n"/>
      <c r="R81" s="38" t="n"/>
      <c r="S81" s="38" t="n"/>
    </row>
    <row r="82">
      <c r="A82" s="38" t="n"/>
      <c r="B82" s="38" t="n"/>
      <c r="C82" s="38" t="n"/>
      <c r="D82" s="38" t="n"/>
      <c r="E82" s="38" t="n"/>
      <c r="F82" s="38" t="n"/>
      <c r="G82" s="38" t="n"/>
      <c r="H82" s="38" t="n"/>
      <c r="I82" s="38" t="n"/>
      <c r="J82" s="38" t="n"/>
      <c r="K82" s="38" t="n"/>
      <c r="L82" s="38" t="n"/>
      <c r="M82" s="38" t="n"/>
      <c r="N82" s="38" t="n"/>
      <c r="O82" s="38" t="n"/>
      <c r="P82" s="38" t="n"/>
      <c r="Q82" s="38" t="n"/>
      <c r="R82" s="38" t="n"/>
      <c r="S82" s="38" t="n"/>
    </row>
    <row r="83">
      <c r="A83" s="38" t="n"/>
      <c r="B83" s="38" t="n"/>
      <c r="C83" s="38" t="n"/>
      <c r="D83" s="38" t="n"/>
      <c r="E83" s="38" t="n"/>
      <c r="F83" s="38" t="n"/>
      <c r="G83" s="38" t="n"/>
      <c r="H83" s="38" t="n"/>
      <c r="I83" s="38" t="n"/>
      <c r="J83" s="38" t="n"/>
      <c r="K83" s="38" t="n"/>
      <c r="L83" s="38" t="n"/>
      <c r="M83" s="38" t="n"/>
      <c r="N83" s="38" t="n"/>
      <c r="O83" s="38" t="n"/>
      <c r="P83" s="38" t="n"/>
      <c r="Q83" s="38" t="n"/>
      <c r="R83" s="38" t="n"/>
      <c r="S83" s="38" t="n"/>
    </row>
    <row r="84">
      <c r="A84" s="38" t="n"/>
      <c r="B84" s="38" t="n"/>
      <c r="C84" s="38" t="n"/>
      <c r="D84" s="38" t="n"/>
      <c r="E84" s="38" t="n"/>
      <c r="F84" s="38" t="n"/>
      <c r="G84" s="38" t="n"/>
      <c r="H84" s="38" t="n"/>
      <c r="I84" s="38" t="n"/>
      <c r="J84" s="38" t="n"/>
      <c r="K84" s="38" t="n"/>
      <c r="L84" s="38" t="n"/>
      <c r="M84" s="38" t="n"/>
      <c r="N84" s="38" t="n"/>
      <c r="O84" s="38" t="n"/>
      <c r="P84" s="38" t="n"/>
      <c r="Q84" s="38" t="n"/>
      <c r="R84" s="38" t="n"/>
      <c r="S84" s="38" t="n"/>
    </row>
    <row r="85">
      <c r="A85" s="38" t="n"/>
      <c r="B85" s="38" t="n"/>
      <c r="C85" s="38" t="n"/>
      <c r="D85" s="38" t="n"/>
      <c r="E85" s="38" t="n"/>
      <c r="F85" s="38" t="n"/>
      <c r="G85" s="38" t="n"/>
      <c r="H85" s="38" t="n"/>
      <c r="I85" s="38" t="n"/>
      <c r="J85" s="38" t="n"/>
      <c r="K85" s="38" t="n"/>
      <c r="L85" s="38" t="n"/>
      <c r="M85" s="38" t="n"/>
      <c r="N85" s="38" t="n"/>
      <c r="O85" s="38" t="n"/>
      <c r="P85" s="38" t="n"/>
      <c r="Q85" s="38" t="n"/>
      <c r="R85" s="38" t="n"/>
      <c r="S85" s="38" t="n"/>
    </row>
    <row r="86">
      <c r="A86" s="38" t="n"/>
      <c r="B86" s="38" t="n"/>
      <c r="C86" s="38" t="n"/>
      <c r="D86" s="38" t="n"/>
      <c r="E86" s="38" t="n"/>
      <c r="F86" s="38" t="n"/>
      <c r="G86" s="38" t="n"/>
      <c r="H86" s="38" t="n"/>
      <c r="I86" s="38" t="n"/>
      <c r="J86" s="38" t="n"/>
      <c r="K86" s="38" t="n"/>
      <c r="L86" s="38" t="n"/>
      <c r="M86" s="38" t="n"/>
      <c r="N86" s="38" t="n"/>
      <c r="O86" s="38" t="n"/>
      <c r="P86" s="38" t="n"/>
      <c r="Q86" s="38" t="n"/>
      <c r="R86" s="38" t="n"/>
      <c r="S86" s="38" t="n"/>
    </row>
    <row r="87">
      <c r="A87" s="38" t="n"/>
      <c r="B87" s="38" t="n"/>
      <c r="C87" s="38" t="n"/>
      <c r="D87" s="38" t="n"/>
      <c r="E87" s="38" t="n"/>
      <c r="F87" s="38" t="n"/>
      <c r="G87" s="38" t="n"/>
      <c r="H87" s="38" t="n"/>
      <c r="I87" s="38" t="n"/>
      <c r="J87" s="38" t="n"/>
      <c r="K87" s="38" t="n"/>
      <c r="L87" s="38" t="n"/>
      <c r="M87" s="38" t="n"/>
      <c r="N87" s="38" t="n"/>
      <c r="O87" s="38" t="n"/>
      <c r="P87" s="38" t="n"/>
      <c r="Q87" s="38" t="n"/>
      <c r="R87" s="38" t="n"/>
      <c r="S87" s="38" t="n"/>
    </row>
    <row r="88">
      <c r="A88" s="38" t="n"/>
      <c r="B88" s="38" t="n"/>
      <c r="C88" s="38" t="n"/>
      <c r="D88" s="38" t="n"/>
      <c r="E88" s="38" t="n"/>
      <c r="F88" s="38" t="n"/>
      <c r="G88" s="38" t="n"/>
      <c r="H88" s="38" t="n"/>
      <c r="I88" s="38" t="n"/>
      <c r="J88" s="38" t="n"/>
      <c r="K88" s="38" t="n"/>
      <c r="L88" s="38" t="n"/>
      <c r="M88" s="38" t="n"/>
      <c r="N88" s="38" t="n"/>
      <c r="O88" s="38" t="n"/>
      <c r="P88" s="38" t="n"/>
      <c r="Q88" s="38" t="n"/>
      <c r="R88" s="38" t="n"/>
      <c r="S88" s="38" t="n"/>
    </row>
    <row r="89">
      <c r="A89" s="38" t="n"/>
      <c r="B89" s="38" t="n"/>
      <c r="C89" s="38" t="n"/>
      <c r="D89" s="38" t="n"/>
      <c r="E89" s="38" t="n"/>
      <c r="F89" s="38" t="n"/>
      <c r="G89" s="38" t="n"/>
      <c r="H89" s="38" t="n"/>
      <c r="I89" s="38" t="n"/>
      <c r="J89" s="38" t="n"/>
      <c r="K89" s="38" t="n"/>
      <c r="L89" s="38" t="n"/>
      <c r="M89" s="38" t="n"/>
      <c r="N89" s="38" t="n"/>
      <c r="O89" s="38" t="n"/>
      <c r="P89" s="38" t="n"/>
      <c r="Q89" s="38" t="n"/>
      <c r="R89" s="38" t="n"/>
      <c r="S89" s="38" t="n"/>
    </row>
    <row r="90">
      <c r="A90" s="38" t="n"/>
      <c r="B90" s="38" t="n"/>
      <c r="C90" s="38" t="n"/>
      <c r="D90" s="38" t="n"/>
      <c r="E90" s="38" t="n"/>
      <c r="F90" s="38" t="n"/>
      <c r="G90" s="38" t="n"/>
      <c r="H90" s="38" t="n"/>
      <c r="I90" s="38" t="n"/>
      <c r="J90" s="38" t="n"/>
      <c r="K90" s="38" t="n"/>
      <c r="L90" s="38" t="n"/>
      <c r="M90" s="38" t="n"/>
      <c r="N90" s="38" t="n"/>
      <c r="O90" s="38" t="n"/>
      <c r="P90" s="38" t="n"/>
      <c r="Q90" s="38" t="n"/>
      <c r="R90" s="38" t="n"/>
      <c r="S90" s="38" t="n"/>
    </row>
    <row r="91">
      <c r="A91" s="38" t="n"/>
      <c r="B91" s="38" t="n"/>
      <c r="C91" s="38" t="n"/>
      <c r="D91" s="38" t="n"/>
      <c r="E91" s="38" t="n"/>
      <c r="F91" s="38" t="n"/>
      <c r="G91" s="38" t="n"/>
      <c r="H91" s="38" t="n"/>
      <c r="I91" s="38" t="n"/>
      <c r="J91" s="38" t="n"/>
      <c r="K91" s="38" t="n"/>
      <c r="L91" s="38" t="n"/>
      <c r="M91" s="38" t="n"/>
      <c r="N91" s="38" t="n"/>
      <c r="O91" s="38" t="n"/>
      <c r="P91" s="38" t="n"/>
      <c r="Q91" s="38" t="n"/>
      <c r="R91" s="38" t="n"/>
      <c r="S91" s="38" t="n"/>
    </row>
    <row r="92">
      <c r="A92" s="38" t="n"/>
      <c r="B92" s="38" t="n"/>
      <c r="C92" s="38" t="n"/>
      <c r="D92" s="38" t="n"/>
      <c r="E92" s="38" t="n"/>
      <c r="F92" s="38" t="n"/>
      <c r="G92" s="38" t="n"/>
      <c r="H92" s="38" t="n"/>
      <c r="I92" s="38" t="n"/>
      <c r="J92" s="38" t="n"/>
      <c r="K92" s="38" t="n"/>
      <c r="L92" s="38" t="n"/>
      <c r="M92" s="38" t="n"/>
      <c r="N92" s="38" t="n"/>
      <c r="O92" s="38" t="n"/>
      <c r="P92" s="38" t="n"/>
      <c r="Q92" s="38" t="n"/>
      <c r="R92" s="38" t="n"/>
      <c r="S92" s="38" t="n"/>
    </row>
    <row r="93">
      <c r="A93" s="38" t="n"/>
      <c r="B93" s="38" t="n"/>
      <c r="C93" s="38" t="n"/>
      <c r="D93" s="38" t="n"/>
      <c r="E93" s="38" t="n"/>
      <c r="F93" s="38" t="n"/>
      <c r="G93" s="38" t="n"/>
      <c r="H93" s="38" t="n"/>
      <c r="I93" s="38" t="n"/>
      <c r="J93" s="38" t="n"/>
      <c r="K93" s="38" t="n"/>
      <c r="L93" s="38" t="n"/>
      <c r="M93" s="38" t="n"/>
      <c r="N93" s="38" t="n"/>
      <c r="O93" s="38" t="n"/>
      <c r="P93" s="38" t="n"/>
      <c r="Q93" s="38" t="n"/>
      <c r="R93" s="38" t="n"/>
      <c r="S93" s="38" t="n"/>
    </row>
    <row r="94">
      <c r="A94" s="38" t="n"/>
      <c r="B94" s="38" t="n"/>
      <c r="C94" s="38" t="n"/>
      <c r="D94" s="38" t="n"/>
      <c r="E94" s="38" t="n"/>
      <c r="F94" s="38" t="n"/>
      <c r="G94" s="38" t="n"/>
      <c r="H94" s="38" t="n"/>
      <c r="I94" s="38" t="n"/>
      <c r="J94" s="38" t="n"/>
      <c r="K94" s="38" t="n"/>
      <c r="L94" s="38" t="n"/>
      <c r="M94" s="38" t="n"/>
      <c r="N94" s="38" t="n"/>
      <c r="O94" s="38" t="n"/>
      <c r="P94" s="38" t="n"/>
      <c r="Q94" s="38" t="n"/>
      <c r="R94" s="38" t="n"/>
      <c r="S94" s="38" t="n"/>
    </row>
    <row r="95">
      <c r="A95" s="38" t="n"/>
      <c r="B95" s="38" t="n"/>
      <c r="C95" s="38" t="n"/>
      <c r="D95" s="38" t="n"/>
      <c r="E95" s="38" t="n"/>
      <c r="F95" s="38" t="n"/>
      <c r="G95" s="38" t="n"/>
      <c r="H95" s="38" t="n"/>
      <c r="I95" s="38" t="n"/>
      <c r="J95" s="38" t="n"/>
      <c r="K95" s="38" t="n"/>
      <c r="L95" s="38" t="n"/>
      <c r="M95" s="38" t="n"/>
      <c r="N95" s="38" t="n"/>
      <c r="O95" s="38" t="n"/>
      <c r="P95" s="38" t="n"/>
      <c r="Q95" s="38" t="n"/>
      <c r="R95" s="38" t="n"/>
      <c r="S95" s="38" t="n"/>
    </row>
    <row r="96">
      <c r="A96" s="38" t="n"/>
      <c r="B96" s="38" t="n"/>
      <c r="C96" s="38" t="n"/>
      <c r="D96" s="38" t="n"/>
      <c r="E96" s="38" t="n"/>
      <c r="F96" s="38" t="n"/>
      <c r="G96" s="38" t="n"/>
      <c r="H96" s="38" t="n"/>
      <c r="I96" s="38" t="n"/>
      <c r="J96" s="38" t="n"/>
      <c r="K96" s="38" t="n"/>
      <c r="L96" s="38" t="n"/>
      <c r="M96" s="38" t="n"/>
      <c r="N96" s="38" t="n"/>
      <c r="O96" s="38" t="n"/>
      <c r="P96" s="38" t="n"/>
      <c r="Q96" s="38" t="n"/>
      <c r="R96" s="38" t="n"/>
      <c r="S96" s="38" t="n"/>
    </row>
    <row r="97">
      <c r="A97" s="38" t="n"/>
      <c r="B97" s="38" t="n"/>
      <c r="C97" s="38" t="n"/>
      <c r="D97" s="38" t="n"/>
      <c r="E97" s="38" t="n"/>
      <c r="F97" s="38" t="n"/>
      <c r="G97" s="38" t="n"/>
      <c r="H97" s="38" t="n"/>
      <c r="I97" s="38" t="n"/>
      <c r="J97" s="38" t="n"/>
      <c r="K97" s="38" t="n"/>
      <c r="L97" s="38" t="n"/>
      <c r="M97" s="38" t="n"/>
      <c r="N97" s="38" t="n"/>
      <c r="O97" s="38" t="n"/>
      <c r="P97" s="38" t="n"/>
      <c r="Q97" s="38" t="n"/>
      <c r="R97" s="38" t="n"/>
      <c r="S97" s="38" t="n"/>
    </row>
    <row r="98">
      <c r="A98" s="38" t="n"/>
      <c r="B98" s="38" t="n"/>
      <c r="C98" s="38" t="n"/>
      <c r="D98" s="38" t="n"/>
      <c r="E98" s="38" t="n"/>
      <c r="F98" s="38" t="n"/>
      <c r="G98" s="38" t="n"/>
      <c r="H98" s="38" t="n"/>
      <c r="I98" s="38" t="n"/>
      <c r="J98" s="38" t="n"/>
      <c r="K98" s="38" t="n"/>
      <c r="L98" s="38" t="n"/>
      <c r="M98" s="38" t="n"/>
      <c r="N98" s="38" t="n"/>
      <c r="O98" s="38" t="n"/>
      <c r="P98" s="38" t="n"/>
      <c r="Q98" s="38" t="n"/>
      <c r="R98" s="38" t="n"/>
      <c r="S98" s="38" t="n"/>
    </row>
    <row r="99">
      <c r="A99" s="38" t="n"/>
      <c r="B99" s="38" t="n"/>
      <c r="C99" s="38" t="n"/>
      <c r="D99" s="38" t="n"/>
      <c r="E99" s="38" t="n"/>
      <c r="F99" s="38" t="n"/>
      <c r="G99" s="38" t="n"/>
      <c r="H99" s="38" t="n"/>
      <c r="I99" s="38" t="n"/>
      <c r="J99" s="38" t="n"/>
      <c r="K99" s="38" t="n"/>
      <c r="L99" s="38" t="n"/>
      <c r="M99" s="38" t="n"/>
      <c r="N99" s="38" t="n"/>
      <c r="O99" s="38" t="n"/>
      <c r="P99" s="38" t="n"/>
      <c r="Q99" s="38" t="n"/>
      <c r="R99" s="38" t="n"/>
      <c r="S99" s="38" t="n"/>
    </row>
    <row r="100">
      <c r="A100" s="38" t="n"/>
      <c r="B100" s="38" t="n"/>
      <c r="C100" s="38" t="n"/>
      <c r="D100" s="38" t="n"/>
      <c r="E100" s="38" t="n"/>
      <c r="F100" s="38" t="n"/>
      <c r="G100" s="38" t="n"/>
      <c r="H100" s="38" t="n"/>
      <c r="I100" s="38" t="n"/>
      <c r="J100" s="38" t="n"/>
      <c r="K100" s="38" t="n"/>
      <c r="L100" s="38" t="n"/>
      <c r="M100" s="38" t="n"/>
      <c r="N100" s="38" t="n"/>
      <c r="O100" s="38" t="n"/>
      <c r="P100" s="38" t="n"/>
      <c r="Q100" s="38" t="n"/>
      <c r="R100" s="38" t="n"/>
      <c r="S100" s="38" t="n"/>
    </row>
    <row r="101">
      <c r="A101" s="38" t="n"/>
      <c r="B101" s="38" t="n"/>
      <c r="C101" s="38" t="n"/>
      <c r="D101" s="38" t="n"/>
      <c r="E101" s="38" t="n"/>
      <c r="F101" s="38" t="n"/>
      <c r="G101" s="38" t="n"/>
      <c r="H101" s="38" t="n"/>
      <c r="I101" s="38" t="n"/>
      <c r="J101" s="38" t="n"/>
      <c r="K101" s="38" t="n"/>
      <c r="L101" s="38" t="n"/>
      <c r="M101" s="38" t="n"/>
      <c r="N101" s="38" t="n"/>
      <c r="O101" s="38" t="n"/>
      <c r="P101" s="38" t="n"/>
      <c r="Q101" s="38" t="n"/>
      <c r="R101" s="38" t="n"/>
      <c r="S101" s="38" t="n"/>
    </row>
    <row r="102">
      <c r="A102" s="38" t="n"/>
      <c r="B102" s="38" t="n"/>
      <c r="C102" s="38" t="n"/>
      <c r="D102" s="38" t="n"/>
      <c r="E102" s="38" t="n"/>
      <c r="F102" s="38" t="n"/>
      <c r="G102" s="38" t="n"/>
      <c r="H102" s="38" t="n"/>
      <c r="I102" s="38" t="n"/>
      <c r="J102" s="38" t="n"/>
      <c r="K102" s="38" t="n"/>
      <c r="L102" s="38" t="n"/>
      <c r="M102" s="38" t="n"/>
      <c r="N102" s="38" t="n"/>
      <c r="O102" s="38" t="n"/>
      <c r="P102" s="38" t="n"/>
      <c r="Q102" s="38" t="n"/>
      <c r="R102" s="38" t="n"/>
      <c r="S102" s="38" t="n"/>
    </row>
    <row r="103">
      <c r="A103" s="38" t="n"/>
      <c r="B103" s="38" t="n"/>
      <c r="C103" s="38" t="n"/>
      <c r="D103" s="38" t="n"/>
      <c r="E103" s="38" t="n"/>
      <c r="F103" s="38" t="n"/>
      <c r="G103" s="38" t="n"/>
      <c r="H103" s="38" t="n"/>
      <c r="I103" s="38" t="n"/>
      <c r="J103" s="38" t="n"/>
      <c r="K103" s="38" t="n"/>
      <c r="L103" s="38" t="n"/>
      <c r="M103" s="38" t="n"/>
      <c r="N103" s="38" t="n"/>
      <c r="O103" s="38" t="n"/>
      <c r="P103" s="38" t="n"/>
      <c r="Q103" s="38" t="n"/>
      <c r="R103" s="38" t="n"/>
      <c r="S103" s="38" t="n"/>
    </row>
    <row r="104">
      <c r="A104" s="38" t="n"/>
      <c r="B104" s="38" t="n"/>
      <c r="C104" s="38" t="n"/>
      <c r="D104" s="38" t="n"/>
      <c r="E104" s="38" t="n"/>
      <c r="F104" s="38" t="n"/>
      <c r="G104" s="38" t="n"/>
      <c r="H104" s="38" t="n"/>
      <c r="I104" s="38" t="n"/>
      <c r="J104" s="38" t="n"/>
      <c r="K104" s="38" t="n"/>
      <c r="L104" s="38" t="n"/>
      <c r="M104" s="38" t="n"/>
      <c r="N104" s="38" t="n"/>
      <c r="O104" s="38" t="n"/>
      <c r="P104" s="38" t="n"/>
      <c r="Q104" s="38" t="n"/>
      <c r="R104" s="38" t="n"/>
      <c r="S104" s="38" t="n"/>
    </row>
    <row r="105">
      <c r="A105" s="38" t="n"/>
      <c r="B105" s="38" t="n"/>
      <c r="C105" s="38" t="n"/>
      <c r="D105" s="38" t="n"/>
      <c r="E105" s="38" t="n"/>
      <c r="F105" s="38" t="n"/>
      <c r="G105" s="38" t="n"/>
      <c r="H105" s="38" t="n"/>
      <c r="I105" s="38" t="n"/>
      <c r="J105" s="38" t="n"/>
      <c r="K105" s="38" t="n"/>
      <c r="L105" s="38" t="n"/>
      <c r="M105" s="38" t="n"/>
      <c r="N105" s="38" t="n"/>
      <c r="O105" s="38" t="n"/>
      <c r="P105" s="38" t="n"/>
      <c r="Q105" s="38" t="n"/>
      <c r="R105" s="38" t="n"/>
      <c r="S105" s="38" t="n"/>
    </row>
    <row r="106">
      <c r="A106" s="38" t="n"/>
      <c r="B106" s="38" t="n"/>
      <c r="C106" s="38" t="n"/>
      <c r="D106" s="38" t="n"/>
      <c r="E106" s="38" t="n"/>
      <c r="F106" s="38" t="n"/>
      <c r="G106" s="38" t="n"/>
      <c r="H106" s="38" t="n"/>
      <c r="I106" s="38" t="n"/>
      <c r="J106" s="38" t="n"/>
      <c r="K106" s="38" t="n"/>
      <c r="L106" s="38" t="n"/>
      <c r="M106" s="38" t="n"/>
      <c r="N106" s="38" t="n"/>
      <c r="O106" s="38" t="n"/>
      <c r="P106" s="38" t="n"/>
      <c r="Q106" s="38" t="n"/>
      <c r="R106" s="38" t="n"/>
      <c r="S106" s="38" t="n"/>
    </row>
    <row r="107">
      <c r="A107" s="38" t="n"/>
      <c r="B107" s="38" t="n"/>
      <c r="C107" s="38" t="n"/>
      <c r="D107" s="38" t="n"/>
      <c r="E107" s="38" t="n"/>
      <c r="F107" s="38" t="n"/>
      <c r="G107" s="38" t="n"/>
      <c r="H107" s="38" t="n"/>
      <c r="I107" s="38" t="n"/>
      <c r="J107" s="38" t="n"/>
      <c r="K107" s="38" t="n"/>
      <c r="L107" s="38" t="n"/>
      <c r="M107" s="38" t="n"/>
      <c r="N107" s="38" t="n"/>
      <c r="O107" s="38" t="n"/>
      <c r="P107" s="38" t="n"/>
      <c r="Q107" s="38" t="n"/>
      <c r="R107" s="38" t="n"/>
      <c r="S107" s="38" t="n"/>
    </row>
    <row r="108">
      <c r="A108" s="38" t="n"/>
      <c r="B108" s="38" t="n"/>
      <c r="C108" s="38" t="n"/>
      <c r="D108" s="38" t="n"/>
      <c r="E108" s="38" t="n"/>
      <c r="F108" s="38" t="n"/>
      <c r="G108" s="38" t="n"/>
      <c r="H108" s="38" t="n"/>
      <c r="I108" s="38" t="n"/>
      <c r="J108" s="38" t="n"/>
      <c r="K108" s="38" t="n"/>
      <c r="L108" s="38" t="n"/>
      <c r="M108" s="38" t="n"/>
      <c r="N108" s="38" t="n"/>
      <c r="O108" s="38" t="n"/>
      <c r="P108" s="38" t="n"/>
      <c r="Q108" s="38" t="n"/>
      <c r="R108" s="38" t="n"/>
      <c r="S108" s="38" t="n"/>
    </row>
    <row r="109">
      <c r="A109" s="38" t="n"/>
      <c r="B109" s="38" t="n"/>
      <c r="C109" s="38" t="n"/>
      <c r="D109" s="38" t="n"/>
      <c r="E109" s="38" t="n"/>
      <c r="F109" s="38" t="n"/>
      <c r="G109" s="38" t="n"/>
      <c r="H109" s="38" t="n"/>
      <c r="I109" s="38" t="n"/>
      <c r="J109" s="38" t="n"/>
      <c r="K109" s="38" t="n"/>
      <c r="L109" s="38" t="n"/>
      <c r="M109" s="38" t="n"/>
      <c r="N109" s="38" t="n"/>
      <c r="O109" s="38" t="n"/>
      <c r="P109" s="38" t="n"/>
      <c r="Q109" s="38" t="n"/>
      <c r="R109" s="38" t="n"/>
      <c r="S109" s="38" t="n"/>
    </row>
    <row r="110">
      <c r="A110" s="38" t="n"/>
      <c r="B110" s="38" t="n"/>
      <c r="C110" s="38" t="n"/>
      <c r="D110" s="38" t="n"/>
      <c r="E110" s="38" t="n"/>
      <c r="F110" s="38" t="n"/>
      <c r="G110" s="38" t="n"/>
      <c r="H110" s="38" t="n"/>
      <c r="I110" s="38" t="n"/>
      <c r="J110" s="38" t="n"/>
      <c r="K110" s="38" t="n"/>
      <c r="L110" s="38" t="n"/>
      <c r="M110" s="38" t="n"/>
      <c r="N110" s="38" t="n"/>
      <c r="O110" s="38" t="n"/>
      <c r="P110" s="38" t="n"/>
      <c r="Q110" s="38" t="n"/>
      <c r="R110" s="38" t="n"/>
      <c r="S110" s="38" t="n"/>
    </row>
    <row r="111">
      <c r="A111" s="38" t="n"/>
      <c r="B111" s="38" t="n"/>
      <c r="C111" s="38" t="n"/>
      <c r="D111" s="38" t="n"/>
      <c r="E111" s="38" t="n"/>
      <c r="F111" s="38" t="n"/>
      <c r="G111" s="38" t="n"/>
      <c r="H111" s="38" t="n"/>
      <c r="I111" s="38" t="n"/>
      <c r="J111" s="38" t="n"/>
      <c r="K111" s="38" t="n"/>
      <c r="L111" s="38" t="n"/>
      <c r="M111" s="38" t="n"/>
      <c r="N111" s="38" t="n"/>
      <c r="O111" s="38" t="n"/>
      <c r="P111" s="38" t="n"/>
      <c r="Q111" s="38" t="n"/>
      <c r="R111" s="38" t="n"/>
      <c r="S111" s="38" t="n"/>
    </row>
    <row r="112">
      <c r="A112" s="38" t="n"/>
      <c r="B112" s="38" t="n"/>
      <c r="C112" s="38" t="n"/>
      <c r="D112" s="38" t="n"/>
      <c r="E112" s="38" t="n"/>
      <c r="F112" s="38" t="n"/>
      <c r="G112" s="38" t="n"/>
      <c r="H112" s="38" t="n"/>
      <c r="I112" s="38" t="n"/>
      <c r="J112" s="38" t="n"/>
      <c r="K112" s="38" t="n"/>
      <c r="L112" s="38" t="n"/>
      <c r="M112" s="38" t="n"/>
      <c r="N112" s="38" t="n"/>
      <c r="O112" s="38" t="n"/>
      <c r="P112" s="38" t="n"/>
      <c r="Q112" s="38" t="n"/>
      <c r="R112" s="38" t="n"/>
      <c r="S112" s="38" t="n"/>
    </row>
    <row r="113">
      <c r="A113" s="38" t="n"/>
      <c r="B113" s="38" t="n"/>
      <c r="C113" s="38" t="n"/>
      <c r="D113" s="38" t="n"/>
      <c r="E113" s="38" t="n"/>
      <c r="F113" s="38" t="n"/>
      <c r="G113" s="38" t="n"/>
      <c r="H113" s="38" t="n"/>
      <c r="I113" s="38" t="n"/>
      <c r="J113" s="38" t="n"/>
      <c r="K113" s="38" t="n"/>
      <c r="L113" s="38" t="n"/>
      <c r="M113" s="38" t="n"/>
      <c r="N113" s="38" t="n"/>
      <c r="O113" s="38" t="n"/>
      <c r="P113" s="38" t="n"/>
      <c r="Q113" s="38" t="n"/>
      <c r="R113" s="38" t="n"/>
      <c r="S113" s="38" t="n"/>
    </row>
    <row r="114">
      <c r="A114" s="38" t="n"/>
      <c r="B114" s="38" t="n"/>
      <c r="C114" s="38" t="n"/>
      <c r="D114" s="38" t="n"/>
      <c r="E114" s="38" t="n"/>
      <c r="F114" s="38" t="n"/>
      <c r="G114" s="38" t="n"/>
      <c r="H114" s="38" t="n"/>
      <c r="I114" s="38" t="n"/>
      <c r="J114" s="38" t="n"/>
      <c r="K114" s="38" t="n"/>
      <c r="L114" s="38" t="n"/>
      <c r="M114" s="38" t="n"/>
      <c r="N114" s="38" t="n"/>
      <c r="O114" s="38" t="n"/>
      <c r="P114" s="38" t="n"/>
      <c r="Q114" s="38" t="n"/>
      <c r="R114" s="38" t="n"/>
      <c r="S114" s="38" t="n"/>
    </row>
    <row r="115">
      <c r="A115" s="38" t="n"/>
      <c r="B115" s="38" t="n"/>
      <c r="C115" s="38" t="n"/>
      <c r="D115" s="38" t="n"/>
      <c r="E115" s="38" t="n"/>
      <c r="F115" s="38" t="n"/>
      <c r="G115" s="38" t="n"/>
      <c r="H115" s="38" t="n"/>
      <c r="I115" s="38" t="n"/>
      <c r="J115" s="38" t="n"/>
      <c r="K115" s="38" t="n"/>
      <c r="L115" s="38" t="n"/>
      <c r="M115" s="38" t="n"/>
      <c r="N115" s="38" t="n"/>
      <c r="O115" s="38" t="n"/>
      <c r="P115" s="38" t="n"/>
      <c r="Q115" s="38" t="n"/>
      <c r="R115" s="38" t="n"/>
      <c r="S115" s="38" t="n"/>
    </row>
    <row r="116">
      <c r="A116" s="38" t="n"/>
      <c r="B116" s="38" t="n"/>
      <c r="C116" s="38" t="n"/>
      <c r="D116" s="38" t="n"/>
      <c r="E116" s="38" t="n"/>
      <c r="F116" s="38" t="n"/>
      <c r="G116" s="38" t="n"/>
      <c r="H116" s="38" t="n"/>
      <c r="I116" s="38" t="n"/>
      <c r="J116" s="38" t="n"/>
      <c r="K116" s="38" t="n"/>
      <c r="L116" s="38" t="n"/>
      <c r="M116" s="38" t="n"/>
      <c r="N116" s="38" t="n"/>
      <c r="O116" s="38" t="n"/>
      <c r="P116" s="38" t="n"/>
      <c r="Q116" s="38" t="n"/>
      <c r="R116" s="38" t="n"/>
      <c r="S116" s="38" t="n"/>
    </row>
    <row r="117">
      <c r="A117" s="38" t="n"/>
      <c r="B117" s="38" t="n"/>
      <c r="C117" s="38" t="n"/>
      <c r="D117" s="38" t="n"/>
      <c r="E117" s="38" t="n"/>
      <c r="F117" s="38" t="n"/>
      <c r="G117" s="38" t="n"/>
      <c r="H117" s="38" t="n"/>
      <c r="I117" s="38" t="n"/>
      <c r="J117" s="38" t="n"/>
      <c r="K117" s="38" t="n"/>
      <c r="L117" s="38" t="n"/>
      <c r="M117" s="38" t="n"/>
      <c r="N117" s="38" t="n"/>
      <c r="O117" s="38" t="n"/>
      <c r="P117" s="38" t="n"/>
      <c r="Q117" s="38" t="n"/>
      <c r="R117" s="38" t="n"/>
      <c r="S117" s="38" t="n"/>
    </row>
    <row r="118">
      <c r="A118" s="38" t="n"/>
      <c r="B118" s="38" t="n"/>
      <c r="C118" s="38" t="n"/>
      <c r="D118" s="38" t="n"/>
      <c r="E118" s="38" t="n"/>
      <c r="F118" s="38" t="n"/>
      <c r="G118" s="38" t="n"/>
      <c r="H118" s="38" t="n"/>
      <c r="I118" s="38" t="n"/>
      <c r="J118" s="38" t="n"/>
      <c r="K118" s="38" t="n"/>
      <c r="L118" s="38" t="n"/>
      <c r="M118" s="38" t="n"/>
      <c r="N118" s="38" t="n"/>
      <c r="O118" s="38" t="n"/>
      <c r="P118" s="38" t="n"/>
      <c r="Q118" s="38" t="n"/>
      <c r="R118" s="38" t="n"/>
      <c r="S118" s="38" t="n"/>
    </row>
    <row r="119">
      <c r="A119" s="38" t="n"/>
      <c r="B119" s="38" t="n"/>
      <c r="C119" s="38" t="n"/>
      <c r="D119" s="38" t="n"/>
      <c r="E119" s="38" t="n"/>
      <c r="F119" s="38" t="n"/>
      <c r="G119" s="38" t="n"/>
      <c r="H119" s="38" t="n"/>
      <c r="I119" s="38" t="n"/>
      <c r="J119" s="38" t="n"/>
      <c r="K119" s="38" t="n"/>
      <c r="L119" s="38" t="n"/>
      <c r="M119" s="38" t="n"/>
      <c r="N119" s="38" t="n"/>
      <c r="O119" s="38" t="n"/>
      <c r="P119" s="38" t="n"/>
      <c r="Q119" s="38" t="n"/>
      <c r="R119" s="38" t="n"/>
      <c r="S119" s="38" t="n"/>
    </row>
    <row r="120">
      <c r="A120" s="38" t="n"/>
      <c r="B120" s="38" t="n"/>
      <c r="C120" s="38" t="n"/>
      <c r="D120" s="38" t="n"/>
      <c r="E120" s="38" t="n"/>
      <c r="F120" s="38" t="n"/>
      <c r="G120" s="38" t="n"/>
      <c r="H120" s="38" t="n"/>
      <c r="I120" s="38" t="n"/>
      <c r="J120" s="38" t="n"/>
      <c r="K120" s="38" t="n"/>
      <c r="L120" s="38" t="n"/>
      <c r="M120" s="38" t="n"/>
      <c r="N120" s="38" t="n"/>
      <c r="O120" s="38" t="n"/>
      <c r="P120" s="38" t="n"/>
      <c r="Q120" s="38" t="n"/>
      <c r="R120" s="38" t="n"/>
      <c r="S120" s="38" t="n"/>
    </row>
    <row r="121">
      <c r="A121" s="38" t="n"/>
      <c r="B121" s="38" t="n"/>
      <c r="C121" s="38" t="n"/>
      <c r="D121" s="38" t="n"/>
      <c r="E121" s="38" t="n"/>
      <c r="F121" s="38" t="n"/>
      <c r="G121" s="38" t="n"/>
      <c r="H121" s="38" t="n"/>
      <c r="I121" s="38" t="n"/>
      <c r="J121" s="38" t="n"/>
      <c r="K121" s="38" t="n"/>
      <c r="L121" s="38" t="n"/>
      <c r="M121" s="38" t="n"/>
      <c r="N121" s="38" t="n"/>
      <c r="O121" s="38" t="n"/>
      <c r="P121" s="38" t="n"/>
      <c r="Q121" s="38" t="n"/>
      <c r="R121" s="38" t="n"/>
      <c r="S121" s="38" t="n"/>
    </row>
    <row r="122">
      <c r="A122" s="38" t="n"/>
      <c r="B122" s="38" t="n"/>
      <c r="C122" s="38" t="n"/>
      <c r="D122" s="38" t="n"/>
      <c r="E122" s="38" t="n"/>
      <c r="F122" s="38" t="n"/>
      <c r="G122" s="38" t="n"/>
      <c r="H122" s="38" t="n"/>
      <c r="I122" s="38" t="n"/>
      <c r="J122" s="38" t="n"/>
      <c r="K122" s="38" t="n"/>
      <c r="L122" s="38" t="n"/>
      <c r="M122" s="38" t="n"/>
      <c r="N122" s="38" t="n"/>
      <c r="O122" s="38" t="n"/>
      <c r="P122" s="38" t="n"/>
      <c r="Q122" s="38" t="n"/>
      <c r="R122" s="38" t="n"/>
      <c r="S122" s="38" t="n"/>
    </row>
    <row r="123">
      <c r="A123" s="38" t="n"/>
      <c r="B123" s="38" t="n"/>
      <c r="C123" s="38" t="n"/>
      <c r="D123" s="38" t="n"/>
      <c r="E123" s="38" t="n"/>
      <c r="F123" s="38" t="n"/>
      <c r="G123" s="38" t="n"/>
      <c r="H123" s="38" t="n"/>
      <c r="I123" s="38" t="n"/>
      <c r="J123" s="38" t="n"/>
      <c r="K123" s="38" t="n"/>
      <c r="L123" s="38" t="n"/>
      <c r="M123" s="38" t="n"/>
      <c r="N123" s="38" t="n"/>
      <c r="O123" s="38" t="n"/>
      <c r="P123" s="38" t="n"/>
      <c r="Q123" s="38" t="n"/>
      <c r="R123" s="38" t="n"/>
      <c r="S123" s="38" t="n"/>
    </row>
    <row r="124">
      <c r="A124" s="38" t="n"/>
      <c r="B124" s="38" t="n"/>
      <c r="C124" s="38" t="n"/>
      <c r="D124" s="38" t="n"/>
      <c r="E124" s="38" t="n"/>
      <c r="F124" s="38" t="n"/>
      <c r="G124" s="38" t="n"/>
      <c r="H124" s="38" t="n"/>
      <c r="I124" s="38" t="n"/>
      <c r="J124" s="38" t="n"/>
      <c r="K124" s="38" t="n"/>
      <c r="L124" s="38" t="n"/>
      <c r="M124" s="38" t="n"/>
      <c r="N124" s="38" t="n"/>
      <c r="O124" s="38" t="n"/>
      <c r="P124" s="38" t="n"/>
      <c r="Q124" s="38" t="n"/>
      <c r="R124" s="38" t="n"/>
      <c r="S124" s="38" t="n"/>
    </row>
    <row r="125">
      <c r="A125" s="38" t="n"/>
      <c r="B125" s="38" t="n"/>
      <c r="C125" s="38" t="n"/>
      <c r="D125" s="38" t="n"/>
      <c r="E125" s="38" t="n"/>
      <c r="F125" s="38" t="n"/>
      <c r="G125" s="38" t="n"/>
      <c r="H125" s="38" t="n"/>
      <c r="I125" s="38" t="n"/>
      <c r="J125" s="38" t="n"/>
      <c r="K125" s="38" t="n"/>
      <c r="L125" s="38" t="n"/>
      <c r="M125" s="38" t="n"/>
      <c r="N125" s="38" t="n"/>
      <c r="O125" s="38" t="n"/>
      <c r="P125" s="38" t="n"/>
      <c r="Q125" s="38" t="n"/>
      <c r="R125" s="38" t="n"/>
      <c r="S125" s="38" t="n"/>
    </row>
    <row r="126">
      <c r="A126" s="38" t="n"/>
      <c r="B126" s="38" t="n"/>
      <c r="C126" s="38" t="n"/>
      <c r="D126" s="38" t="n"/>
      <c r="E126" s="38" t="n"/>
      <c r="F126" s="38" t="n"/>
      <c r="G126" s="38" t="n"/>
      <c r="H126" s="38" t="n"/>
      <c r="I126" s="38" t="n"/>
      <c r="J126" s="38" t="n"/>
      <c r="K126" s="38" t="n"/>
      <c r="L126" s="38" t="n"/>
      <c r="M126" s="38" t="n"/>
      <c r="N126" s="38" t="n"/>
      <c r="O126" s="38" t="n"/>
      <c r="P126" s="38" t="n"/>
      <c r="Q126" s="38" t="n"/>
      <c r="R126" s="38" t="n"/>
      <c r="S126" s="38" t="n"/>
    </row>
    <row r="127">
      <c r="A127" s="38" t="n"/>
      <c r="B127" s="38" t="n"/>
      <c r="C127" s="38" t="n"/>
      <c r="D127" s="38" t="n"/>
      <c r="E127" s="38" t="n"/>
      <c r="F127" s="38" t="n"/>
      <c r="G127" s="38" t="n"/>
      <c r="H127" s="38" t="n"/>
      <c r="I127" s="38" t="n"/>
      <c r="J127" s="38" t="n"/>
      <c r="K127" s="38" t="n"/>
      <c r="L127" s="38" t="n"/>
      <c r="M127" s="38" t="n"/>
      <c r="N127" s="38" t="n"/>
      <c r="O127" s="38" t="n"/>
      <c r="P127" s="38" t="n"/>
      <c r="Q127" s="38" t="n"/>
      <c r="R127" s="38" t="n"/>
      <c r="S127" s="38" t="n"/>
    </row>
    <row r="128">
      <c r="A128" s="38" t="n"/>
      <c r="B128" s="38" t="n"/>
      <c r="C128" s="38" t="n"/>
      <c r="D128" s="38" t="n"/>
      <c r="E128" s="38" t="n"/>
      <c r="F128" s="38" t="n"/>
      <c r="G128" s="38" t="n"/>
      <c r="H128" s="38" t="n"/>
      <c r="I128" s="38" t="n"/>
      <c r="J128" s="38" t="n"/>
      <c r="K128" s="38" t="n"/>
      <c r="L128" s="38" t="n"/>
      <c r="M128" s="38" t="n"/>
      <c r="N128" s="38" t="n"/>
      <c r="O128" s="38" t="n"/>
      <c r="P128" s="38" t="n"/>
      <c r="Q128" s="38" t="n"/>
      <c r="R128" s="38" t="n"/>
      <c r="S128" s="38" t="n"/>
    </row>
    <row r="129">
      <c r="A129" s="38" t="n"/>
      <c r="B129" s="38" t="n"/>
      <c r="C129" s="38" t="n"/>
      <c r="D129" s="38" t="n"/>
      <c r="E129" s="38" t="n"/>
      <c r="F129" s="38" t="n"/>
      <c r="G129" s="38" t="n"/>
      <c r="H129" s="38" t="n"/>
      <c r="I129" s="38" t="n"/>
      <c r="J129" s="38" t="n"/>
      <c r="K129" s="38" t="n"/>
      <c r="L129" s="38" t="n"/>
      <c r="M129" s="38" t="n"/>
      <c r="N129" s="38" t="n"/>
      <c r="O129" s="38" t="n"/>
      <c r="P129" s="38" t="n"/>
      <c r="Q129" s="38" t="n"/>
      <c r="R129" s="38" t="n"/>
      <c r="S129" s="38" t="n"/>
    </row>
  </sheetData>
  <mergeCells count="26">
    <mergeCell ref="C34:D34"/>
    <mergeCell ref="C24:D24"/>
    <mergeCell ref="A17:J17"/>
    <mergeCell ref="C6:J6"/>
    <mergeCell ref="A4:J4"/>
    <mergeCell ref="C5:J5"/>
    <mergeCell ref="A38:J38"/>
    <mergeCell ref="A28:J28"/>
    <mergeCell ref="A67:J67"/>
    <mergeCell ref="C10:J10"/>
    <mergeCell ref="C9:J9"/>
    <mergeCell ref="A49:J49"/>
    <mergeCell ref="C45:I45"/>
    <mergeCell ref="A1:J1"/>
    <mergeCell ref="C12:J12"/>
    <mergeCell ref="C11:J11"/>
    <mergeCell ref="A16:J16"/>
    <mergeCell ref="C8:J8"/>
    <mergeCell ref="A66:J66"/>
    <mergeCell ref="A80:J80"/>
    <mergeCell ref="A37:J37"/>
    <mergeCell ref="C7:J7"/>
    <mergeCell ref="A27:J27"/>
    <mergeCell ref="A50:J50"/>
    <mergeCell ref="C13:J13"/>
    <mergeCell ref="A2:J2"/>
  </mergeCells>
  <dataValidations count="1">
    <dataValidation sqref="C11" showDropDown="0" showInputMessage="0" showErrorMessage="0" allowBlank="1" type="list">
      <formula1>"Simple FP (SFP),COSMIC FP (CFP),IFPUG FP (UFP),ERP Hybrid (IFPUG+Config)"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D28D9"/>
    <outlinePr summaryBelow="1" summaryRight="1"/>
    <pageSetUpPr/>
  </sheetPr>
  <dimension ref="A1:S11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32" customHeight="1">
      <c r="A1" s="130" t="inlineStr">
        <is>
          <t>📊  PRODUCTIVITY BENCHMARKS — Industry × Technology (hrs/FP)</t>
        </is>
      </c>
      <c r="L1" s="38" t="n"/>
      <c r="M1" s="38" t="n"/>
      <c r="N1" s="38" t="n"/>
      <c r="O1" s="38" t="n"/>
      <c r="P1" s="38" t="n"/>
      <c r="Q1" s="38" t="n"/>
      <c r="R1" s="38" t="n"/>
      <c r="S1" s="38" t="n"/>
    </row>
    <row r="2" ht="30" customHeight="1">
      <c r="A2" s="85" t="inlineStr">
        <is>
          <t>Source basis: ISBSG Release 15, Gartner IT Key Metrics Data 2023–24, COSMIC Measurement Practices, QSM SLIM benchmarks. All rates are MEDIAN values at offshore India productivity levels. Apply ×1.8–2.2 for onshore.</t>
        </is>
      </c>
      <c r="L2" s="38" t="n"/>
      <c r="M2" s="38" t="n"/>
      <c r="N2" s="38" t="n"/>
      <c r="O2" s="38" t="n"/>
      <c r="P2" s="38" t="n"/>
      <c r="Q2" s="38" t="n"/>
      <c r="R2" s="38" t="n"/>
      <c r="S2" s="38" t="n"/>
    </row>
    <row r="3">
      <c r="A3" s="38" t="n"/>
      <c r="B3" s="38" t="n"/>
      <c r="C3" s="38" t="n"/>
      <c r="D3" s="38" t="n"/>
      <c r="E3" s="38" t="n"/>
      <c r="F3" s="38" t="n"/>
      <c r="G3" s="38" t="n"/>
      <c r="H3" s="38" t="n"/>
      <c r="I3" s="38" t="n"/>
      <c r="J3" s="38" t="n"/>
      <c r="K3" s="38" t="n"/>
      <c r="L3" s="38" t="n"/>
      <c r="M3" s="38" t="n"/>
      <c r="N3" s="38" t="n"/>
      <c r="O3" s="38" t="n"/>
      <c r="P3" s="38" t="n"/>
      <c r="Q3" s="38" t="n"/>
      <c r="R3" s="38" t="n"/>
      <c r="S3" s="38" t="n"/>
    </row>
    <row r="4" ht="20" customHeight="1">
      <c r="A4" s="45" t="inlineStr">
        <is>
          <t>TABLE 1 — Median Productivity (hrs/FP) by INDUSTRY × METHOD</t>
        </is>
      </c>
      <c r="L4" s="38" t="n"/>
      <c r="M4" s="38" t="n"/>
      <c r="N4" s="38" t="n"/>
      <c r="O4" s="38" t="n"/>
      <c r="P4" s="38" t="n"/>
      <c r="Q4" s="38" t="n"/>
      <c r="R4" s="38" t="n"/>
      <c r="S4" s="38" t="n"/>
    </row>
    <row r="5" ht="32" customHeight="1">
      <c r="A5" s="38" t="n"/>
      <c r="B5" s="131" t="inlineStr">
        <is>
          <t>Industry / Domain</t>
        </is>
      </c>
      <c r="C5" s="131" t="inlineStr">
        <is>
          <t>SFP hrs/FP</t>
        </is>
      </c>
      <c r="D5" s="131" t="inlineStr">
        <is>
          <t>SFP $/FP (India)</t>
        </is>
      </c>
      <c r="E5" s="131" t="inlineStr">
        <is>
          <t>CFP hrs/CFP</t>
        </is>
      </c>
      <c r="F5" s="131" t="inlineStr">
        <is>
          <t>CFP $/CFP (India)</t>
        </is>
      </c>
      <c r="G5" s="131" t="inlineStr">
        <is>
          <t>IFPUG hrs/UFP</t>
        </is>
      </c>
      <c r="H5" s="131" t="inlineStr">
        <is>
          <t>IFPUG $/UFP (India)</t>
        </is>
      </c>
      <c r="I5" s="131" t="inlineStr">
        <is>
          <t>Gartner Range $/UFP</t>
        </is>
      </c>
      <c r="J5" s="131" t="inlineStr">
        <is>
          <t>Typical Accuracy</t>
        </is>
      </c>
      <c r="K5" s="131" t="inlineStr">
        <is>
          <t>Project Duration Benchmark</t>
        </is>
      </c>
      <c r="L5" s="38" t="n"/>
      <c r="M5" s="38" t="n"/>
      <c r="N5" s="38" t="n"/>
      <c r="O5" s="38" t="n"/>
      <c r="P5" s="38" t="n"/>
      <c r="Q5" s="38" t="n"/>
      <c r="R5" s="38" t="n"/>
      <c r="S5" s="38" t="n"/>
    </row>
    <row r="6" ht="16" customHeight="1">
      <c r="A6" s="38" t="n"/>
      <c r="B6" s="132" t="inlineStr">
        <is>
          <t>Banking / Financial Services</t>
        </is>
      </c>
      <c r="C6" s="133" t="n">
        <v>8</v>
      </c>
      <c r="D6" s="133" t="n">
        <v>250</v>
      </c>
      <c r="E6" s="133" t="n">
        <v>14</v>
      </c>
      <c r="F6" s="133" t="n">
        <v>380</v>
      </c>
      <c r="G6" s="133" t="n">
        <v>11</v>
      </c>
      <c r="H6" s="133" t="n">
        <v>320</v>
      </c>
      <c r="I6" s="134" t="inlineStr">
        <is>
          <t>$400–$850</t>
        </is>
      </c>
      <c r="J6" s="134" t="inlineStr">
        <is>
          <t>±12%</t>
        </is>
      </c>
      <c r="K6" s="134" t="inlineStr">
        <is>
          <t>6–18 months</t>
        </is>
      </c>
      <c r="L6" s="38" t="n"/>
      <c r="M6" s="38" t="n"/>
      <c r="N6" s="38" t="n"/>
      <c r="O6" s="38" t="n"/>
      <c r="P6" s="38" t="n"/>
      <c r="Q6" s="38" t="n"/>
      <c r="R6" s="38" t="n"/>
      <c r="S6" s="38" t="n"/>
    </row>
    <row r="7" ht="16" customHeight="1">
      <c r="A7" s="38" t="n"/>
      <c r="B7" s="135" t="inlineStr">
        <is>
          <t>Healthcare / Pharma (Regulated)</t>
        </is>
      </c>
      <c r="C7" s="136" t="n">
        <v>10</v>
      </c>
      <c r="D7" s="136" t="n">
        <v>300</v>
      </c>
      <c r="E7" s="136" t="n">
        <v>17</v>
      </c>
      <c r="F7" s="136" t="n">
        <v>430</v>
      </c>
      <c r="G7" s="136" t="n">
        <v>14</v>
      </c>
      <c r="H7" s="136" t="n">
        <v>400</v>
      </c>
      <c r="I7" s="55" t="inlineStr">
        <is>
          <t>$500–$1,100</t>
        </is>
      </c>
      <c r="J7" s="55" t="inlineStr">
        <is>
          <t>±15%</t>
        </is>
      </c>
      <c r="K7" s="55" t="inlineStr">
        <is>
          <t>9–24 months</t>
        </is>
      </c>
      <c r="L7" s="38" t="n"/>
      <c r="M7" s="38" t="n"/>
      <c r="N7" s="38" t="n"/>
      <c r="O7" s="38" t="n"/>
      <c r="P7" s="38" t="n"/>
      <c r="Q7" s="38" t="n"/>
      <c r="R7" s="38" t="n"/>
      <c r="S7" s="38" t="n"/>
    </row>
    <row r="8" ht="16" customHeight="1">
      <c r="A8" s="38" t="n"/>
      <c r="B8" s="132" t="inlineStr">
        <is>
          <t>Retail / E-Commerce</t>
        </is>
      </c>
      <c r="C8" s="133" t="n">
        <v>9</v>
      </c>
      <c r="D8" s="133" t="n">
        <v>240</v>
      </c>
      <c r="E8" s="133" t="n">
        <v>15</v>
      </c>
      <c r="F8" s="133" t="n">
        <v>360</v>
      </c>
      <c r="G8" s="133" t="n">
        <v>12</v>
      </c>
      <c r="H8" s="133" t="n">
        <v>300</v>
      </c>
      <c r="I8" s="134" t="inlineStr">
        <is>
          <t>$350–$750</t>
        </is>
      </c>
      <c r="J8" s="134" t="inlineStr">
        <is>
          <t>±18%</t>
        </is>
      </c>
      <c r="K8" s="134" t="inlineStr">
        <is>
          <t>4–14 months</t>
        </is>
      </c>
      <c r="L8" s="38" t="n"/>
      <c r="M8" s="38" t="n"/>
      <c r="N8" s="38" t="n"/>
      <c r="O8" s="38" t="n"/>
      <c r="P8" s="38" t="n"/>
      <c r="Q8" s="38" t="n"/>
      <c r="R8" s="38" t="n"/>
      <c r="S8" s="38" t="n"/>
    </row>
    <row r="9" ht="16" customHeight="1">
      <c r="A9" s="38" t="n"/>
      <c r="B9" s="135" t="inlineStr">
        <is>
          <t>Manufacturing / Industrial</t>
        </is>
      </c>
      <c r="C9" s="136" t="n">
        <v>9</v>
      </c>
      <c r="D9" s="136" t="n">
        <v>260</v>
      </c>
      <c r="E9" s="136" t="n">
        <v>16</v>
      </c>
      <c r="F9" s="136" t="n">
        <v>400</v>
      </c>
      <c r="G9" s="136" t="n">
        <v>13</v>
      </c>
      <c r="H9" s="136" t="n">
        <v>340</v>
      </c>
      <c r="I9" s="55" t="inlineStr">
        <is>
          <t>$380–$850</t>
        </is>
      </c>
      <c r="J9" s="55" t="inlineStr">
        <is>
          <t>±15%</t>
        </is>
      </c>
      <c r="K9" s="55" t="inlineStr">
        <is>
          <t>6–18 months</t>
        </is>
      </c>
      <c r="L9" s="38" t="n"/>
      <c r="M9" s="38" t="n"/>
      <c r="N9" s="38" t="n"/>
      <c r="O9" s="38" t="n"/>
      <c r="P9" s="38" t="n"/>
      <c r="Q9" s="38" t="n"/>
      <c r="R9" s="38" t="n"/>
      <c r="S9" s="38" t="n"/>
    </row>
    <row r="10" ht="16" customHeight="1">
      <c r="A10" s="38" t="n"/>
      <c r="B10" s="132" t="inlineStr">
        <is>
          <t>Telecom / Networking</t>
        </is>
      </c>
      <c r="C10" s="133" t="n">
        <v>10</v>
      </c>
      <c r="D10" s="133" t="n">
        <v>280</v>
      </c>
      <c r="E10" s="133" t="n">
        <v>13</v>
      </c>
      <c r="F10" s="133" t="n">
        <v>370</v>
      </c>
      <c r="G10" s="133" t="n">
        <v>12</v>
      </c>
      <c r="H10" s="133" t="n">
        <v>330</v>
      </c>
      <c r="I10" s="134" t="inlineStr">
        <is>
          <t>$400–$900</t>
        </is>
      </c>
      <c r="J10" s="134" t="inlineStr">
        <is>
          <t>±14%</t>
        </is>
      </c>
      <c r="K10" s="134" t="inlineStr">
        <is>
          <t>6–20 months</t>
        </is>
      </c>
      <c r="L10" s="38" t="n"/>
      <c r="M10" s="38" t="n"/>
      <c r="N10" s="38" t="n"/>
      <c r="O10" s="38" t="n"/>
      <c r="P10" s="38" t="n"/>
      <c r="Q10" s="38" t="n"/>
      <c r="R10" s="38" t="n"/>
      <c r="S10" s="38" t="n"/>
    </row>
    <row r="11" ht="16" customHeight="1">
      <c r="A11" s="38" t="n"/>
      <c r="B11" s="135" t="inlineStr">
        <is>
          <t>Government / Public Sector</t>
        </is>
      </c>
      <c r="C11" s="136" t="n">
        <v>12</v>
      </c>
      <c r="D11" s="136" t="n">
        <v>320</v>
      </c>
      <c r="E11" s="136" t="n">
        <v>18</v>
      </c>
      <c r="F11" s="136" t="n">
        <v>450</v>
      </c>
      <c r="G11" s="136" t="n">
        <v>16</v>
      </c>
      <c r="H11" s="136" t="n">
        <v>420</v>
      </c>
      <c r="I11" s="55" t="inlineStr">
        <is>
          <t>$500–$1,200</t>
        </is>
      </c>
      <c r="J11" s="55" t="inlineStr">
        <is>
          <t>±20%</t>
        </is>
      </c>
      <c r="K11" s="55" t="inlineStr">
        <is>
          <t>12–36 months</t>
        </is>
      </c>
      <c r="L11" s="38" t="n"/>
      <c r="M11" s="38" t="n"/>
      <c r="N11" s="38" t="n"/>
      <c r="O11" s="38" t="n"/>
      <c r="P11" s="38" t="n"/>
      <c r="Q11" s="38" t="n"/>
      <c r="R11" s="38" t="n"/>
      <c r="S11" s="38" t="n"/>
    </row>
    <row r="12" ht="16" customHeight="1">
      <c r="A12" s="38" t="n"/>
      <c r="B12" s="132" t="inlineStr">
        <is>
          <t>Insurance</t>
        </is>
      </c>
      <c r="C12" s="133" t="n">
        <v>10</v>
      </c>
      <c r="D12" s="133" t="n">
        <v>270</v>
      </c>
      <c r="E12" s="133" t="n">
        <v>15</v>
      </c>
      <c r="F12" s="133" t="n">
        <v>390</v>
      </c>
      <c r="G12" s="133" t="n">
        <v>13</v>
      </c>
      <c r="H12" s="133" t="n">
        <v>350</v>
      </c>
      <c r="I12" s="134" t="inlineStr">
        <is>
          <t>$400–$900</t>
        </is>
      </c>
      <c r="J12" s="134" t="inlineStr">
        <is>
          <t>±15%</t>
        </is>
      </c>
      <c r="K12" s="134" t="inlineStr">
        <is>
          <t>8–20 months</t>
        </is>
      </c>
      <c r="L12" s="38" t="n"/>
      <c r="M12" s="38" t="n"/>
      <c r="N12" s="38" t="n"/>
      <c r="O12" s="38" t="n"/>
      <c r="P12" s="38" t="n"/>
      <c r="Q12" s="38" t="n"/>
      <c r="R12" s="38" t="n"/>
      <c r="S12" s="38" t="n"/>
    </row>
    <row r="13" ht="16" customHeight="1">
      <c r="A13" s="38" t="n"/>
      <c r="B13" s="135" t="inlineStr">
        <is>
          <t>Media / Entertainment</t>
        </is>
      </c>
      <c r="C13" s="136" t="n">
        <v>8</v>
      </c>
      <c r="D13" s="136" t="n">
        <v>220</v>
      </c>
      <c r="E13" s="136" t="n">
        <v>13</v>
      </c>
      <c r="F13" s="136" t="n">
        <v>320</v>
      </c>
      <c r="G13" s="136" t="n">
        <v>10</v>
      </c>
      <c r="H13" s="136" t="n">
        <v>280</v>
      </c>
      <c r="I13" s="55" t="inlineStr">
        <is>
          <t>$300–$700</t>
        </is>
      </c>
      <c r="J13" s="55" t="inlineStr">
        <is>
          <t>±20%</t>
        </is>
      </c>
      <c r="K13" s="55" t="inlineStr">
        <is>
          <t>4–12 months</t>
        </is>
      </c>
      <c r="L13" s="38" t="n"/>
      <c r="M13" s="38" t="n"/>
      <c r="N13" s="38" t="n"/>
      <c r="O13" s="38" t="n"/>
      <c r="P13" s="38" t="n"/>
      <c r="Q13" s="38" t="n"/>
      <c r="R13" s="38" t="n"/>
      <c r="S13" s="38" t="n"/>
    </row>
    <row r="14" ht="16" customHeight="1">
      <c r="A14" s="38" t="n"/>
      <c r="B14" s="132" t="inlineStr">
        <is>
          <t>Logistics / Supply Chain</t>
        </is>
      </c>
      <c r="C14" s="133" t="n">
        <v>9</v>
      </c>
      <c r="D14" s="133" t="n">
        <v>250</v>
      </c>
      <c r="E14" s="133" t="n">
        <v>14</v>
      </c>
      <c r="F14" s="133" t="n">
        <v>360</v>
      </c>
      <c r="G14" s="133" t="n">
        <v>12</v>
      </c>
      <c r="H14" s="133" t="n">
        <v>320</v>
      </c>
      <c r="I14" s="134" t="inlineStr">
        <is>
          <t>$350–$800</t>
        </is>
      </c>
      <c r="J14" s="134" t="inlineStr">
        <is>
          <t>±16%</t>
        </is>
      </c>
      <c r="K14" s="134" t="inlineStr">
        <is>
          <t>5–16 months</t>
        </is>
      </c>
      <c r="L14" s="38" t="n"/>
      <c r="M14" s="38" t="n"/>
      <c r="N14" s="38" t="n"/>
      <c r="O14" s="38" t="n"/>
      <c r="P14" s="38" t="n"/>
      <c r="Q14" s="38" t="n"/>
      <c r="R14" s="38" t="n"/>
      <c r="S14" s="38" t="n"/>
    </row>
    <row r="15" ht="16" customHeight="1">
      <c r="A15" s="38" t="n"/>
      <c r="B15" s="135" t="inlineStr">
        <is>
          <t>Education / EdTech</t>
        </is>
      </c>
      <c r="C15" s="136" t="n">
        <v>8</v>
      </c>
      <c r="D15" s="136" t="n">
        <v>200</v>
      </c>
      <c r="E15" s="136" t="n">
        <v>13</v>
      </c>
      <c r="F15" s="136" t="n">
        <v>300</v>
      </c>
      <c r="G15" s="136" t="n">
        <v>10</v>
      </c>
      <c r="H15" s="136" t="n">
        <v>260</v>
      </c>
      <c r="I15" s="55" t="inlineStr">
        <is>
          <t>$280–$650</t>
        </is>
      </c>
      <c r="J15" s="55" t="inlineStr">
        <is>
          <t>±22%</t>
        </is>
      </c>
      <c r="K15" s="55" t="inlineStr">
        <is>
          <t>4–12 months</t>
        </is>
      </c>
      <c r="L15" s="38" t="n"/>
      <c r="M15" s="38" t="n"/>
      <c r="N15" s="38" t="n"/>
      <c r="O15" s="38" t="n"/>
      <c r="P15" s="38" t="n"/>
      <c r="Q15" s="38" t="n"/>
      <c r="R15" s="38" t="n"/>
      <c r="S15" s="38" t="n"/>
    </row>
    <row r="16" ht="16" customHeight="1">
      <c r="A16" s="38" t="n"/>
      <c r="B16" s="132" t="inlineStr">
        <is>
          <t>Energy / Utilities</t>
        </is>
      </c>
      <c r="C16" s="133" t="n">
        <v>10</v>
      </c>
      <c r="D16" s="133" t="n">
        <v>280</v>
      </c>
      <c r="E16" s="133" t="n">
        <v>16</v>
      </c>
      <c r="F16" s="133" t="n">
        <v>400</v>
      </c>
      <c r="G16" s="133" t="n">
        <v>13</v>
      </c>
      <c r="H16" s="133" t="n">
        <v>360</v>
      </c>
      <c r="I16" s="134" t="inlineStr">
        <is>
          <t>$420–$950</t>
        </is>
      </c>
      <c r="J16" s="134" t="inlineStr">
        <is>
          <t>±15%</t>
        </is>
      </c>
      <c r="K16" s="134" t="inlineStr">
        <is>
          <t>8–24 months</t>
        </is>
      </c>
      <c r="L16" s="38" t="n"/>
      <c r="M16" s="38" t="n"/>
      <c r="N16" s="38" t="n"/>
      <c r="O16" s="38" t="n"/>
      <c r="P16" s="38" t="n"/>
      <c r="Q16" s="38" t="n"/>
      <c r="R16" s="38" t="n"/>
      <c r="S16" s="38" t="n"/>
    </row>
    <row r="17" ht="16" customHeight="1">
      <c r="A17" s="38" t="n"/>
      <c r="B17" s="135" t="inlineStr">
        <is>
          <t>SAP ERP (FI/CO/MM/SD)</t>
        </is>
      </c>
      <c r="C17" s="136" t="n">
        <v>15</v>
      </c>
      <c r="D17" s="136" t="n">
        <v>400</v>
      </c>
      <c r="E17" s="136" t="n">
        <v>22</v>
      </c>
      <c r="F17" s="136" t="n">
        <v>520</v>
      </c>
      <c r="G17" s="136" t="n">
        <v>16</v>
      </c>
      <c r="H17" s="136" t="n">
        <v>450</v>
      </c>
      <c r="I17" s="55" t="inlineStr">
        <is>
          <t>$600–$1,500</t>
        </is>
      </c>
      <c r="J17" s="55" t="inlineStr">
        <is>
          <t>±18%</t>
        </is>
      </c>
      <c r="K17" s="55" t="inlineStr">
        <is>
          <t>12–36 months</t>
        </is>
      </c>
      <c r="L17" s="38" t="n"/>
      <c r="M17" s="38" t="n"/>
      <c r="N17" s="38" t="n"/>
      <c r="O17" s="38" t="n"/>
      <c r="P17" s="38" t="n"/>
      <c r="Q17" s="38" t="n"/>
      <c r="R17" s="38" t="n"/>
      <c r="S17" s="38" t="n"/>
    </row>
    <row r="18" ht="16" customHeight="1">
      <c r="A18" s="38" t="n"/>
      <c r="B18" s="132" t="inlineStr">
        <is>
          <t>Salesforce CRM</t>
        </is>
      </c>
      <c r="C18" s="133" t="n">
        <v>9</v>
      </c>
      <c r="D18" s="133" t="n">
        <v>240</v>
      </c>
      <c r="E18" s="133" t="n">
        <v>14</v>
      </c>
      <c r="F18" s="133" t="n">
        <v>360</v>
      </c>
      <c r="G18" s="133" t="n">
        <v>11</v>
      </c>
      <c r="H18" s="133" t="n">
        <v>300</v>
      </c>
      <c r="I18" s="134" t="inlineStr">
        <is>
          <t>$350–$800</t>
        </is>
      </c>
      <c r="J18" s="134" t="inlineStr">
        <is>
          <t>±20%</t>
        </is>
      </c>
      <c r="K18" s="134" t="inlineStr">
        <is>
          <t>4–12 months</t>
        </is>
      </c>
      <c r="L18" s="38" t="n"/>
      <c r="M18" s="38" t="n"/>
      <c r="N18" s="38" t="n"/>
      <c r="O18" s="38" t="n"/>
      <c r="P18" s="38" t="n"/>
      <c r="Q18" s="38" t="n"/>
      <c r="R18" s="38" t="n"/>
      <c r="S18" s="38" t="n"/>
    </row>
    <row r="19" ht="16" customHeight="1">
      <c r="A19" s="38" t="n"/>
      <c r="B19" s="135" t="inlineStr">
        <is>
          <t>Custom Enterprise (Java/C#)</t>
        </is>
      </c>
      <c r="C19" s="136" t="n">
        <v>11</v>
      </c>
      <c r="D19" s="136" t="n">
        <v>290</v>
      </c>
      <c r="E19" s="136" t="n">
        <v>16</v>
      </c>
      <c r="F19" s="136" t="n">
        <v>400</v>
      </c>
      <c r="G19" s="136" t="n">
        <v>13</v>
      </c>
      <c r="H19" s="136" t="n">
        <v>340</v>
      </c>
      <c r="I19" s="55" t="inlineStr">
        <is>
          <t>$400–$900</t>
        </is>
      </c>
      <c r="J19" s="55" t="inlineStr">
        <is>
          <t>±15%</t>
        </is>
      </c>
      <c r="K19" s="55" t="inlineStr">
        <is>
          <t>8–24 months</t>
        </is>
      </c>
      <c r="L19" s="38" t="n"/>
      <c r="M19" s="38" t="n"/>
      <c r="N19" s="38" t="n"/>
      <c r="O19" s="38" t="n"/>
      <c r="P19" s="38" t="n"/>
      <c r="Q19" s="38" t="n"/>
      <c r="R19" s="38" t="n"/>
      <c r="S19" s="38" t="n"/>
    </row>
    <row r="20" ht="16" customHeight="1">
      <c r="A20" s="38" t="n"/>
      <c r="B20" s="132" t="inlineStr">
        <is>
          <t>Mobile App (iOS/Android/RN)</t>
        </is>
      </c>
      <c r="C20" s="133" t="n">
        <v>8</v>
      </c>
      <c r="D20" s="133" t="n">
        <v>220</v>
      </c>
      <c r="E20" s="133" t="n">
        <v>14</v>
      </c>
      <c r="F20" s="133" t="n">
        <v>340</v>
      </c>
      <c r="G20" s="133" t="n">
        <v>10</v>
      </c>
      <c r="H20" s="133" t="n">
        <v>280</v>
      </c>
      <c r="I20" s="134" t="inlineStr">
        <is>
          <t>$300–$700</t>
        </is>
      </c>
      <c r="J20" s="134" t="inlineStr">
        <is>
          <t>±22%</t>
        </is>
      </c>
      <c r="K20" s="134" t="inlineStr">
        <is>
          <t>4–12 months</t>
        </is>
      </c>
      <c r="L20" s="38" t="n"/>
      <c r="M20" s="38" t="n"/>
      <c r="N20" s="38" t="n"/>
      <c r="O20" s="38" t="n"/>
      <c r="P20" s="38" t="n"/>
      <c r="Q20" s="38" t="n"/>
      <c r="R20" s="38" t="n"/>
      <c r="S20" s="38" t="n"/>
    </row>
    <row r="21" ht="16" customHeight="1">
      <c r="A21" s="38" t="n"/>
      <c r="B21" s="135" t="inlineStr">
        <is>
          <t>AI / ML Systems</t>
        </is>
      </c>
      <c r="C21" s="136" t="n">
        <v>14</v>
      </c>
      <c r="D21" s="136" t="n">
        <v>380</v>
      </c>
      <c r="E21" s="136" t="n">
        <v>20</v>
      </c>
      <c r="F21" s="136" t="n">
        <v>480</v>
      </c>
      <c r="G21" s="136" t="n">
        <v>16</v>
      </c>
      <c r="H21" s="136" t="n">
        <v>430</v>
      </c>
      <c r="I21" s="55" t="inlineStr">
        <is>
          <t>$500–$1,200</t>
        </is>
      </c>
      <c r="J21" s="55" t="inlineStr">
        <is>
          <t>±30%</t>
        </is>
      </c>
      <c r="K21" s="55" t="inlineStr">
        <is>
          <t>6–18 months</t>
        </is>
      </c>
      <c r="L21" s="38" t="n"/>
      <c r="M21" s="38" t="n"/>
      <c r="N21" s="38" t="n"/>
      <c r="O21" s="38" t="n"/>
      <c r="P21" s="38" t="n"/>
      <c r="Q21" s="38" t="n"/>
      <c r="R21" s="38" t="n"/>
      <c r="S21" s="38" t="n"/>
    </row>
    <row r="22" ht="16" customHeight="1">
      <c r="A22" s="38" t="n"/>
      <c r="B22" s="132" t="inlineStr">
        <is>
          <t>IoT / Embedded Systems</t>
        </is>
      </c>
      <c r="C22" s="133" t="n">
        <v>12</v>
      </c>
      <c r="D22" s="133" t="n">
        <v>320</v>
      </c>
      <c r="E22" s="133" t="n">
        <v>10</v>
      </c>
      <c r="F22" s="133" t="n">
        <v>280</v>
      </c>
      <c r="G22" s="133" t="n">
        <v>14</v>
      </c>
      <c r="H22" s="133" t="n">
        <v>360</v>
      </c>
      <c r="I22" s="134" t="inlineStr">
        <is>
          <t>$400–$900</t>
        </is>
      </c>
      <c r="J22" s="134" t="inlineStr">
        <is>
          <t>±20%</t>
        </is>
      </c>
      <c r="K22" s="134" t="inlineStr">
        <is>
          <t>8–24 months</t>
        </is>
      </c>
      <c r="L22" s="38" t="n"/>
      <c r="M22" s="38" t="n"/>
      <c r="N22" s="38" t="n"/>
      <c r="O22" s="38" t="n"/>
      <c r="P22" s="38" t="n"/>
      <c r="Q22" s="38" t="n"/>
      <c r="R22" s="38" t="n"/>
      <c r="S22" s="38" t="n"/>
    </row>
    <row r="23" ht="16" customHeight="1">
      <c r="A23" s="38" t="n"/>
      <c r="B23" s="135" t="inlineStr">
        <is>
          <t>Microservices / Cloud-Native</t>
        </is>
      </c>
      <c r="C23" s="136" t="n">
        <v>9</v>
      </c>
      <c r="D23" s="136" t="n">
        <v>240</v>
      </c>
      <c r="E23" s="136" t="n">
        <v>12</v>
      </c>
      <c r="F23" s="136" t="n">
        <v>320</v>
      </c>
      <c r="G23" s="136" t="n">
        <v>11</v>
      </c>
      <c r="H23" s="136" t="n">
        <v>290</v>
      </c>
      <c r="I23" s="55" t="inlineStr">
        <is>
          <t>$350–$800</t>
        </is>
      </c>
      <c r="J23" s="55" t="inlineStr">
        <is>
          <t>±18%</t>
        </is>
      </c>
      <c r="K23" s="55" t="inlineStr">
        <is>
          <t>4–14 months</t>
        </is>
      </c>
      <c r="L23" s="38" t="n"/>
      <c r="M23" s="38" t="n"/>
      <c r="N23" s="38" t="n"/>
      <c r="O23" s="38" t="n"/>
      <c r="P23" s="38" t="n"/>
      <c r="Q23" s="38" t="n"/>
      <c r="R23" s="38" t="n"/>
      <c r="S23" s="38" t="n"/>
    </row>
    <row r="24">
      <c r="A24" s="38" t="n"/>
      <c r="B24" s="38" t="n"/>
      <c r="C24" s="38" t="n"/>
      <c r="D24" s="38" t="n"/>
      <c r="E24" s="38" t="n"/>
      <c r="F24" s="38" t="n"/>
      <c r="G24" s="38" t="n"/>
      <c r="H24" s="38" t="n"/>
      <c r="I24" s="38" t="n"/>
      <c r="J24" s="38" t="n"/>
      <c r="K24" s="38" t="n"/>
      <c r="L24" s="38" t="n"/>
      <c r="M24" s="38" t="n"/>
      <c r="N24" s="38" t="n"/>
      <c r="O24" s="38" t="n"/>
      <c r="P24" s="38" t="n"/>
      <c r="Q24" s="38" t="n"/>
      <c r="R24" s="38" t="n"/>
      <c r="S24" s="38" t="n"/>
    </row>
    <row r="25">
      <c r="A25" s="38" t="n"/>
      <c r="B25" s="38" t="n"/>
      <c r="C25" s="38" t="n"/>
      <c r="D25" s="38" t="n"/>
      <c r="E25" s="38" t="n"/>
      <c r="F25" s="38" t="n"/>
      <c r="G25" s="38" t="n"/>
      <c r="H25" s="38" t="n"/>
      <c r="I25" s="38" t="n"/>
      <c r="J25" s="38" t="n"/>
      <c r="K25" s="38" t="n"/>
      <c r="L25" s="38" t="n"/>
      <c r="M25" s="38" t="n"/>
      <c r="N25" s="38" t="n"/>
      <c r="O25" s="38" t="n"/>
      <c r="P25" s="38" t="n"/>
      <c r="Q25" s="38" t="n"/>
      <c r="R25" s="38" t="n"/>
      <c r="S25" s="38" t="n"/>
    </row>
    <row r="26" ht="20" customHeight="1">
      <c r="A26" s="43" t="inlineStr">
        <is>
          <t>TABLE 2 — Productivity Adjustment Multipliers by TECHNOLOGY STACK</t>
        </is>
      </c>
      <c r="L26" s="38" t="n"/>
      <c r="M26" s="38" t="n"/>
      <c r="N26" s="38" t="n"/>
      <c r="O26" s="38" t="n"/>
      <c r="P26" s="38" t="n"/>
      <c r="Q26" s="38" t="n"/>
      <c r="R26" s="38" t="n"/>
      <c r="S26" s="38" t="n"/>
    </row>
    <row r="27" ht="18" customHeight="1">
      <c r="A27" s="38" t="n"/>
      <c r="B27" s="137" t="inlineStr">
        <is>
          <t>Technology Stack</t>
        </is>
      </c>
      <c r="C27" s="137" t="inlineStr">
        <is>
          <t>SFP Multiplier</t>
        </is>
      </c>
      <c r="D27" s="137" t="inlineStr">
        <is>
          <t>CFP Multiplier</t>
        </is>
      </c>
      <c r="E27" s="137" t="inlineStr">
        <is>
          <t>IFPUG Multiplier</t>
        </is>
      </c>
      <c r="F27" s="137" t="inlineStr">
        <is>
          <t>Notes / Rationale</t>
        </is>
      </c>
      <c r="G27" s="38" t="n"/>
      <c r="H27" s="38" t="n"/>
      <c r="I27" s="38" t="n"/>
      <c r="J27" s="38" t="n"/>
      <c r="K27" s="38" t="n"/>
      <c r="L27" s="38" t="n"/>
      <c r="M27" s="38" t="n"/>
      <c r="N27" s="38" t="n"/>
      <c r="O27" s="38" t="n"/>
      <c r="P27" s="38" t="n"/>
      <c r="Q27" s="38" t="n"/>
      <c r="R27" s="38" t="n"/>
      <c r="S27" s="38" t="n"/>
    </row>
    <row r="28" ht="16" customHeight="1">
      <c r="A28" s="38" t="n"/>
      <c r="B28" s="138" t="inlineStr">
        <is>
          <t>React / Vue / Angular (SPA)</t>
        </is>
      </c>
      <c r="C28" s="139" t="inlineStr">
        <is>
          <t>1.00×</t>
        </is>
      </c>
      <c r="D28" s="139" t="inlineStr">
        <is>
          <t>1.05×</t>
        </is>
      </c>
      <c r="E28" s="139" t="inlineStr">
        <is>
          <t>1.00×</t>
        </is>
      </c>
      <c r="F28" s="140" t="inlineStr">
        <is>
          <t>Baseline — mature ecosystem, good tooling</t>
        </is>
      </c>
      <c r="G28" s="38" t="n"/>
      <c r="H28" s="38" t="n"/>
      <c r="I28" s="38" t="n"/>
      <c r="J28" s="38" t="n"/>
      <c r="K28" s="38" t="n"/>
      <c r="L28" s="38" t="n"/>
      <c r="M28" s="38" t="n"/>
      <c r="N28" s="38" t="n"/>
      <c r="O28" s="38" t="n"/>
      <c r="P28" s="38" t="n"/>
      <c r="Q28" s="38" t="n"/>
      <c r="R28" s="38" t="n"/>
      <c r="S28" s="38" t="n"/>
    </row>
    <row r="29" ht="16" customHeight="1">
      <c r="A29" s="38" t="n"/>
      <c r="B29" s="141" t="inlineStr">
        <is>
          <t>React Native / Flutter (Mobile)</t>
        </is>
      </c>
      <c r="C29" s="55" t="inlineStr">
        <is>
          <t>1.05×</t>
        </is>
      </c>
      <c r="D29" s="55" t="inlineStr">
        <is>
          <t>1.10×</t>
        </is>
      </c>
      <c r="E29" s="55" t="inlineStr">
        <is>
          <t>1.05×</t>
        </is>
      </c>
      <c r="F29" s="56" t="inlineStr">
        <is>
          <t>Cross-platform overhead; extra device testing</t>
        </is>
      </c>
      <c r="G29" s="38" t="n"/>
      <c r="H29" s="38" t="n"/>
      <c r="I29" s="38" t="n"/>
      <c r="J29" s="38" t="n"/>
      <c r="K29" s="38" t="n"/>
      <c r="L29" s="38" t="n"/>
      <c r="M29" s="38" t="n"/>
      <c r="N29" s="38" t="n"/>
      <c r="O29" s="38" t="n"/>
      <c r="P29" s="38" t="n"/>
      <c r="Q29" s="38" t="n"/>
      <c r="R29" s="38" t="n"/>
      <c r="S29" s="38" t="n"/>
    </row>
    <row r="30" ht="16" customHeight="1">
      <c r="A30" s="38" t="n"/>
      <c r="B30" s="138" t="inlineStr">
        <is>
          <t>Node.js / Express (Backend)</t>
        </is>
      </c>
      <c r="C30" s="139" t="inlineStr">
        <is>
          <t>0.95×</t>
        </is>
      </c>
      <c r="D30" s="139" t="inlineStr">
        <is>
          <t>1.00×</t>
        </is>
      </c>
      <c r="E30" s="139" t="inlineStr">
        <is>
          <t>0.95×</t>
        </is>
      </c>
      <c r="F30" s="140" t="inlineStr">
        <is>
          <t>Fast dev; fewer lines of code per function</t>
        </is>
      </c>
      <c r="G30" s="38" t="n"/>
      <c r="H30" s="38" t="n"/>
      <c r="I30" s="38" t="n"/>
      <c r="J30" s="38" t="n"/>
      <c r="K30" s="38" t="n"/>
      <c r="L30" s="38" t="n"/>
      <c r="M30" s="38" t="n"/>
      <c r="N30" s="38" t="n"/>
      <c r="O30" s="38" t="n"/>
      <c r="P30" s="38" t="n"/>
      <c r="Q30" s="38" t="n"/>
      <c r="R30" s="38" t="n"/>
      <c r="S30" s="38" t="n"/>
    </row>
    <row r="31" ht="16" customHeight="1">
      <c r="A31" s="38" t="n"/>
      <c r="B31" s="141" t="inlineStr">
        <is>
          <t>Java Spring Boot</t>
        </is>
      </c>
      <c r="C31" s="55" t="inlineStr">
        <is>
          <t>1.10×</t>
        </is>
      </c>
      <c r="D31" s="55" t="inlineStr">
        <is>
          <t>1.05×</t>
        </is>
      </c>
      <c r="E31" s="55" t="inlineStr">
        <is>
          <t>1.05×</t>
        </is>
      </c>
      <c r="F31" s="56" t="inlineStr">
        <is>
          <t>Verbose; enterprise patterns add effort</t>
        </is>
      </c>
      <c r="G31" s="38" t="n"/>
      <c r="H31" s="38" t="n"/>
      <c r="I31" s="38" t="n"/>
      <c r="J31" s="38" t="n"/>
      <c r="K31" s="38" t="n"/>
      <c r="L31" s="38" t="n"/>
      <c r="M31" s="38" t="n"/>
      <c r="N31" s="38" t="n"/>
      <c r="O31" s="38" t="n"/>
      <c r="P31" s="38" t="n"/>
      <c r="Q31" s="38" t="n"/>
      <c r="R31" s="38" t="n"/>
      <c r="S31" s="38" t="n"/>
    </row>
    <row r="32" ht="16" customHeight="1">
      <c r="A32" s="38" t="n"/>
      <c r="B32" s="138" t="inlineStr">
        <is>
          <t>Python / Django / FastAPI</t>
        </is>
      </c>
      <c r="C32" s="139" t="inlineStr">
        <is>
          <t>0.90×</t>
        </is>
      </c>
      <c r="D32" s="139" t="inlineStr">
        <is>
          <t>0.95×</t>
        </is>
      </c>
      <c r="E32" s="139" t="inlineStr">
        <is>
          <t>0.90×</t>
        </is>
      </c>
      <c r="F32" s="140" t="inlineStr">
        <is>
          <t>Fastest productivity; great for data-heavy apps</t>
        </is>
      </c>
      <c r="G32" s="38" t="n"/>
      <c r="H32" s="38" t="n"/>
      <c r="I32" s="38" t="n"/>
      <c r="J32" s="38" t="n"/>
      <c r="K32" s="38" t="n"/>
      <c r="L32" s="38" t="n"/>
      <c r="M32" s="38" t="n"/>
      <c r="N32" s="38" t="n"/>
      <c r="O32" s="38" t="n"/>
      <c r="P32" s="38" t="n"/>
      <c r="Q32" s="38" t="n"/>
      <c r="R32" s="38" t="n"/>
      <c r="S32" s="38" t="n"/>
    </row>
    <row r="33" ht="16" customHeight="1">
      <c r="A33" s="38" t="n"/>
      <c r="B33" s="141" t="inlineStr">
        <is>
          <t>SAP ABAP / Fiori</t>
        </is>
      </c>
      <c r="C33" s="55" t="inlineStr">
        <is>
          <t>1.50×</t>
        </is>
      </c>
      <c r="D33" s="55" t="inlineStr">
        <is>
          <t>1.60×</t>
        </is>
      </c>
      <c r="E33" s="55" t="inlineStr">
        <is>
          <t>1.40×</t>
        </is>
      </c>
      <c r="F33" s="56" t="inlineStr">
        <is>
          <t>Specialized skill; steep learning curve; complex debugging</t>
        </is>
      </c>
      <c r="G33" s="38" t="n"/>
      <c r="H33" s="38" t="n"/>
      <c r="I33" s="38" t="n"/>
      <c r="J33" s="38" t="n"/>
      <c r="K33" s="38" t="n"/>
      <c r="L33" s="38" t="n"/>
      <c r="M33" s="38" t="n"/>
      <c r="N33" s="38" t="n"/>
      <c r="O33" s="38" t="n"/>
      <c r="P33" s="38" t="n"/>
      <c r="Q33" s="38" t="n"/>
      <c r="R33" s="38" t="n"/>
      <c r="S33" s="38" t="n"/>
    </row>
    <row r="34" ht="16" customHeight="1">
      <c r="A34" s="38" t="n"/>
      <c r="B34" s="138" t="inlineStr">
        <is>
          <t>SAP Cloud Platform (BTP)</t>
        </is>
      </c>
      <c r="C34" s="139" t="inlineStr">
        <is>
          <t>1.40×</t>
        </is>
      </c>
      <c r="D34" s="139" t="inlineStr">
        <is>
          <t>1.50×</t>
        </is>
      </c>
      <c r="E34" s="139" t="inlineStr">
        <is>
          <t>1.35×</t>
        </is>
      </c>
      <c r="F34" s="140" t="inlineStr">
        <is>
          <t>New platform; evolving tooling</t>
        </is>
      </c>
      <c r="G34" s="38" t="n"/>
      <c r="H34" s="38" t="n"/>
      <c r="I34" s="38" t="n"/>
      <c r="J34" s="38" t="n"/>
      <c r="K34" s="38" t="n"/>
      <c r="L34" s="38" t="n"/>
      <c r="M34" s="38" t="n"/>
      <c r="N34" s="38" t="n"/>
      <c r="O34" s="38" t="n"/>
      <c r="P34" s="38" t="n"/>
      <c r="Q34" s="38" t="n"/>
      <c r="R34" s="38" t="n"/>
      <c r="S34" s="38" t="n"/>
    </row>
    <row r="35" ht="16" customHeight="1">
      <c r="A35" s="38" t="n"/>
      <c r="B35" s="141" t="inlineStr">
        <is>
          <t>Salesforce Apex / LWC</t>
        </is>
      </c>
      <c r="C35" s="55" t="inlineStr">
        <is>
          <t>1.20×</t>
        </is>
      </c>
      <c r="D35" s="55" t="inlineStr">
        <is>
          <t>1.25×</t>
        </is>
      </c>
      <c r="E35" s="55" t="inlineStr">
        <is>
          <t>1.15×</t>
        </is>
      </c>
      <c r="F35" s="56" t="inlineStr">
        <is>
          <t>Governor limits complexity; declarative partially offsets</t>
        </is>
      </c>
      <c r="G35" s="38" t="n"/>
      <c r="H35" s="38" t="n"/>
      <c r="I35" s="38" t="n"/>
      <c r="J35" s="38" t="n"/>
      <c r="K35" s="38" t="n"/>
      <c r="L35" s="38" t="n"/>
      <c r="M35" s="38" t="n"/>
      <c r="N35" s="38" t="n"/>
      <c r="O35" s="38" t="n"/>
      <c r="P35" s="38" t="n"/>
      <c r="Q35" s="38" t="n"/>
      <c r="R35" s="38" t="n"/>
      <c r="S35" s="38" t="n"/>
    </row>
    <row r="36" ht="16" customHeight="1">
      <c r="A36" s="38" t="n"/>
      <c r="B36" s="138" t="inlineStr">
        <is>
          <t>Microsoft .NET / C#</t>
        </is>
      </c>
      <c r="C36" s="139" t="inlineStr">
        <is>
          <t>1.05×</t>
        </is>
      </c>
      <c r="D36" s="139" t="inlineStr">
        <is>
          <t>1.05×</t>
        </is>
      </c>
      <c r="E36" s="139" t="inlineStr">
        <is>
          <t>1.00×</t>
        </is>
      </c>
      <c r="F36" s="140" t="inlineStr">
        <is>
          <t>Mature ecosystem; comparable to Java</t>
        </is>
      </c>
      <c r="G36" s="38" t="n"/>
      <c r="H36" s="38" t="n"/>
      <c r="I36" s="38" t="n"/>
      <c r="J36" s="38" t="n"/>
      <c r="K36" s="38" t="n"/>
      <c r="L36" s="38" t="n"/>
      <c r="M36" s="38" t="n"/>
      <c r="N36" s="38" t="n"/>
      <c r="O36" s="38" t="n"/>
      <c r="P36" s="38" t="n"/>
      <c r="Q36" s="38" t="n"/>
      <c r="R36" s="38" t="n"/>
      <c r="S36" s="38" t="n"/>
    </row>
    <row r="37" ht="16" customHeight="1">
      <c r="A37" s="38" t="n"/>
      <c r="B37" s="141" t="inlineStr">
        <is>
          <t>PHP / Laravel</t>
        </is>
      </c>
      <c r="C37" s="55" t="inlineStr">
        <is>
          <t>0.95×</t>
        </is>
      </c>
      <c r="D37" s="55" t="inlineStr">
        <is>
          <t>1.00×</t>
        </is>
      </c>
      <c r="E37" s="55" t="inlineStr">
        <is>
          <t>0.95×</t>
        </is>
      </c>
      <c r="F37" s="56" t="inlineStr">
        <is>
          <t>Good productivity for web; legacy codebases slower</t>
        </is>
      </c>
      <c r="G37" s="38" t="n"/>
      <c r="H37" s="38" t="n"/>
      <c r="I37" s="38" t="n"/>
      <c r="J37" s="38" t="n"/>
      <c r="K37" s="38" t="n"/>
      <c r="L37" s="38" t="n"/>
      <c r="M37" s="38" t="n"/>
      <c r="N37" s="38" t="n"/>
      <c r="O37" s="38" t="n"/>
      <c r="P37" s="38" t="n"/>
      <c r="Q37" s="38" t="n"/>
      <c r="R37" s="38" t="n"/>
      <c r="S37" s="38" t="n"/>
    </row>
    <row r="38" ht="16" customHeight="1">
      <c r="A38" s="38" t="n"/>
      <c r="B38" s="138" t="inlineStr">
        <is>
          <t>Go / Rust</t>
        </is>
      </c>
      <c r="C38" s="139" t="inlineStr">
        <is>
          <t>1.15×</t>
        </is>
      </c>
      <c r="D38" s="139" t="inlineStr">
        <is>
          <t>1.10×</t>
        </is>
      </c>
      <c r="E38" s="139" t="inlineStr">
        <is>
          <t>1.10×</t>
        </is>
      </c>
      <c r="F38" s="140" t="inlineStr">
        <is>
          <t>Performance-focused; less abstraction, more code</t>
        </is>
      </c>
      <c r="G38" s="38" t="n"/>
      <c r="H38" s="38" t="n"/>
      <c r="I38" s="38" t="n"/>
      <c r="J38" s="38" t="n"/>
      <c r="K38" s="38" t="n"/>
      <c r="L38" s="38" t="n"/>
      <c r="M38" s="38" t="n"/>
      <c r="N38" s="38" t="n"/>
      <c r="O38" s="38" t="n"/>
      <c r="P38" s="38" t="n"/>
      <c r="Q38" s="38" t="n"/>
      <c r="R38" s="38" t="n"/>
      <c r="S38" s="38" t="n"/>
    </row>
    <row r="39" ht="16" customHeight="1">
      <c r="A39" s="38" t="n"/>
      <c r="B39" s="141" t="inlineStr">
        <is>
          <t>C / C++ Embedded</t>
        </is>
      </c>
      <c r="C39" s="55" t="inlineStr">
        <is>
          <t>1.60×</t>
        </is>
      </c>
      <c r="D39" s="55" t="inlineStr">
        <is>
          <t>0.90×</t>
        </is>
      </c>
      <c r="E39" s="55" t="inlineStr">
        <is>
          <t>1.80×</t>
        </is>
      </c>
      <c r="F39" s="56" t="inlineStr">
        <is>
          <t>COSMIC better fit; IFPUG poorly suited for embedded</t>
        </is>
      </c>
      <c r="G39" s="38" t="n"/>
      <c r="H39" s="38" t="n"/>
      <c r="I39" s="38" t="n"/>
      <c r="J39" s="38" t="n"/>
      <c r="K39" s="38" t="n"/>
      <c r="L39" s="38" t="n"/>
      <c r="M39" s="38" t="n"/>
      <c r="N39" s="38" t="n"/>
      <c r="O39" s="38" t="n"/>
      <c r="P39" s="38" t="n"/>
      <c r="Q39" s="38" t="n"/>
      <c r="R39" s="38" t="n"/>
      <c r="S39" s="38" t="n"/>
    </row>
    <row r="40" ht="16" customHeight="1">
      <c r="A40" s="38" t="n"/>
      <c r="B40" s="138" t="inlineStr">
        <is>
          <t>Kubernetes / Terraform (Infra)</t>
        </is>
      </c>
      <c r="C40" s="139" t="inlineStr">
        <is>
          <t>1.30×</t>
        </is>
      </c>
      <c r="D40" s="139" t="inlineStr">
        <is>
          <t>1.20×</t>
        </is>
      </c>
      <c r="E40" s="139" t="inlineStr">
        <is>
          <t>1.50×</t>
        </is>
      </c>
      <c r="F40" s="140" t="inlineStr">
        <is>
          <t>IaC not well-measured by FP; use with caution</t>
        </is>
      </c>
      <c r="G40" s="38" t="n"/>
      <c r="H40" s="38" t="n"/>
      <c r="I40" s="38" t="n"/>
      <c r="J40" s="38" t="n"/>
      <c r="K40" s="38" t="n"/>
      <c r="L40" s="38" t="n"/>
      <c r="M40" s="38" t="n"/>
      <c r="N40" s="38" t="n"/>
      <c r="O40" s="38" t="n"/>
      <c r="P40" s="38" t="n"/>
      <c r="Q40" s="38" t="n"/>
      <c r="R40" s="38" t="n"/>
      <c r="S40" s="38" t="n"/>
    </row>
    <row r="41" ht="16" customHeight="1">
      <c r="A41" s="38" t="n"/>
      <c r="B41" s="141" t="inlineStr">
        <is>
          <t>Power Platform (Low-code)</t>
        </is>
      </c>
      <c r="C41" s="55" t="inlineStr">
        <is>
          <t>0.70×</t>
        </is>
      </c>
      <c r="D41" s="55" t="inlineStr">
        <is>
          <t>0.80×</t>
        </is>
      </c>
      <c r="E41" s="55" t="inlineStr">
        <is>
          <t>0.75×</t>
        </is>
      </c>
      <c r="F41" s="56" t="inlineStr">
        <is>
          <t>Low-code dramatically reduces dev effort per FP</t>
        </is>
      </c>
      <c r="G41" s="38" t="n"/>
      <c r="H41" s="38" t="n"/>
      <c r="I41" s="38" t="n"/>
      <c r="J41" s="38" t="n"/>
      <c r="K41" s="38" t="n"/>
      <c r="L41" s="38" t="n"/>
      <c r="M41" s="38" t="n"/>
      <c r="N41" s="38" t="n"/>
      <c r="O41" s="38" t="n"/>
      <c r="P41" s="38" t="n"/>
      <c r="Q41" s="38" t="n"/>
      <c r="R41" s="38" t="n"/>
      <c r="S41" s="38" t="n"/>
    </row>
    <row r="42" ht="16" customHeight="1">
      <c r="A42" s="38" t="n"/>
      <c r="B42" s="138" t="inlineStr">
        <is>
          <t>Oracle APEX</t>
        </is>
      </c>
      <c r="C42" s="139" t="inlineStr">
        <is>
          <t>0.85×</t>
        </is>
      </c>
      <c r="D42" s="139" t="inlineStr">
        <is>
          <t>0.90×</t>
        </is>
      </c>
      <c r="E42" s="139" t="inlineStr">
        <is>
          <t>0.80×</t>
        </is>
      </c>
      <c r="F42" s="140" t="inlineStr">
        <is>
          <t>Rapid dev platform; 20–30% faster than custom code</t>
        </is>
      </c>
      <c r="G42" s="38" t="n"/>
      <c r="H42" s="38" t="n"/>
      <c r="I42" s="38" t="n"/>
      <c r="J42" s="38" t="n"/>
      <c r="K42" s="38" t="n"/>
      <c r="L42" s="38" t="n"/>
      <c r="M42" s="38" t="n"/>
      <c r="N42" s="38" t="n"/>
      <c r="O42" s="38" t="n"/>
      <c r="P42" s="38" t="n"/>
      <c r="Q42" s="38" t="n"/>
      <c r="R42" s="38" t="n"/>
      <c r="S42" s="38" t="n"/>
    </row>
    <row r="43" ht="16" customHeight="1">
      <c r="A43" s="38" t="n"/>
      <c r="B43" s="141" t="inlineStr">
        <is>
          <t>AI/ML Frameworks (TF/PyTorch)</t>
        </is>
      </c>
      <c r="C43" s="55" t="inlineStr">
        <is>
          <t>1.60×</t>
        </is>
      </c>
      <c r="D43" s="55" t="inlineStr">
        <is>
          <t>1.50×</t>
        </is>
      </c>
      <c r="E43" s="55" t="inlineStr">
        <is>
          <t>1.80×</t>
        </is>
      </c>
      <c r="F43" s="56" t="inlineStr">
        <is>
          <t>Research-heavy; high uncertainty; poor FP fit</t>
        </is>
      </c>
      <c r="G43" s="38" t="n"/>
      <c r="H43" s="38" t="n"/>
      <c r="I43" s="38" t="n"/>
      <c r="J43" s="38" t="n"/>
      <c r="K43" s="38" t="n"/>
      <c r="L43" s="38" t="n"/>
      <c r="M43" s="38" t="n"/>
      <c r="N43" s="38" t="n"/>
      <c r="O43" s="38" t="n"/>
      <c r="P43" s="38" t="n"/>
      <c r="Q43" s="38" t="n"/>
      <c r="R43" s="38" t="n"/>
      <c r="S43" s="38" t="n"/>
    </row>
    <row r="44" ht="16" customHeight="1">
      <c r="A44" s="38" t="n"/>
      <c r="B44" s="138" t="inlineStr">
        <is>
          <t>Microservices + API Gateway</t>
        </is>
      </c>
      <c r="C44" s="139" t="inlineStr">
        <is>
          <t>1.15×</t>
        </is>
      </c>
      <c r="D44" s="139" t="inlineStr">
        <is>
          <t>1.00×</t>
        </is>
      </c>
      <c r="E44" s="139" t="inlineStr">
        <is>
          <t>1.20×</t>
        </is>
      </c>
      <c r="F44" s="140" t="inlineStr">
        <is>
          <t>COSMIC is best fit; distributed complexity adds effort</t>
        </is>
      </c>
      <c r="G44" s="38" t="n"/>
      <c r="H44" s="38" t="n"/>
      <c r="I44" s="38" t="n"/>
      <c r="J44" s="38" t="n"/>
      <c r="K44" s="38" t="n"/>
      <c r="L44" s="38" t="n"/>
      <c r="M44" s="38" t="n"/>
      <c r="N44" s="38" t="n"/>
      <c r="O44" s="38" t="n"/>
      <c r="P44" s="38" t="n"/>
      <c r="Q44" s="38" t="n"/>
      <c r="R44" s="38" t="n"/>
      <c r="S44" s="38" t="n"/>
    </row>
    <row r="45" ht="16" customHeight="1">
      <c r="A45" s="38" t="n"/>
      <c r="B45" s="141" t="inlineStr">
        <is>
          <t>Blockchain / Web3</t>
        </is>
      </c>
      <c r="C45" s="55" t="inlineStr">
        <is>
          <t>2.00×</t>
        </is>
      </c>
      <c r="D45" s="55" t="inlineStr">
        <is>
          <t>1.80×</t>
        </is>
      </c>
      <c r="E45" s="55" t="inlineStr">
        <is>
          <t>2.20×</t>
        </is>
      </c>
      <c r="F45" s="56" t="inlineStr">
        <is>
          <t>Nascent tooling; smart contract complexity very high</t>
        </is>
      </c>
      <c r="G45" s="38" t="n"/>
      <c r="H45" s="38" t="n"/>
      <c r="I45" s="38" t="n"/>
      <c r="J45" s="38" t="n"/>
      <c r="K45" s="38" t="n"/>
      <c r="L45" s="38" t="n"/>
      <c r="M45" s="38" t="n"/>
      <c r="N45" s="38" t="n"/>
      <c r="O45" s="38" t="n"/>
      <c r="P45" s="38" t="n"/>
      <c r="Q45" s="38" t="n"/>
      <c r="R45" s="38" t="n"/>
      <c r="S45" s="38" t="n"/>
    </row>
    <row r="46">
      <c r="A46" s="38" t="n"/>
      <c r="B46" s="38" t="n"/>
      <c r="C46" s="38" t="n"/>
      <c r="D46" s="38" t="n"/>
      <c r="E46" s="38" t="n"/>
      <c r="F46" s="38" t="n"/>
      <c r="G46" s="38" t="n"/>
      <c r="H46" s="38" t="n"/>
      <c r="I46" s="38" t="n"/>
      <c r="J46" s="38" t="n"/>
      <c r="K46" s="38" t="n"/>
      <c r="L46" s="38" t="n"/>
      <c r="M46" s="38" t="n"/>
      <c r="N46" s="38" t="n"/>
      <c r="O46" s="38" t="n"/>
      <c r="P46" s="38" t="n"/>
      <c r="Q46" s="38" t="n"/>
      <c r="R46" s="38" t="n"/>
      <c r="S46" s="38" t="n"/>
    </row>
    <row r="47">
      <c r="A47" s="38" t="n"/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8" t="n"/>
      <c r="M47" s="38" t="n"/>
      <c r="N47" s="38" t="n"/>
      <c r="O47" s="38" t="n"/>
      <c r="P47" s="38" t="n"/>
      <c r="Q47" s="38" t="n"/>
      <c r="R47" s="38" t="n"/>
      <c r="S47" s="38" t="n"/>
    </row>
    <row r="48" ht="20" customHeight="1">
      <c r="A48" s="40" t="inlineStr">
        <is>
          <t>TABLE 3 — Delivery Model Cost Benchmarks (Cost per FP in USD)</t>
        </is>
      </c>
      <c r="L48" s="38" t="n"/>
      <c r="M48" s="38" t="n"/>
      <c r="N48" s="38" t="n"/>
      <c r="O48" s="38" t="n"/>
      <c r="P48" s="38" t="n"/>
      <c r="Q48" s="38" t="n"/>
      <c r="R48" s="38" t="n"/>
      <c r="S48" s="38" t="n"/>
    </row>
    <row r="49" ht="18" customHeight="1">
      <c r="A49" s="38" t="n"/>
      <c r="B49" s="142" t="inlineStr">
        <is>
          <t>Delivery Model</t>
        </is>
      </c>
      <c r="C49" s="142" t="inlineStr">
        <is>
          <t>SFP ($/FP)</t>
        </is>
      </c>
      <c r="D49" s="142" t="inlineStr">
        <is>
          <t>CFP ($/CFP)</t>
        </is>
      </c>
      <c r="E49" s="142" t="inlineStr">
        <is>
          <t>IFPUG ($/UFP)</t>
        </is>
      </c>
      <c r="F49" s="142" t="inlineStr">
        <is>
          <t>Team Size Range</t>
        </is>
      </c>
      <c r="G49" s="142" t="inlineStr">
        <is>
          <t>Best For</t>
        </is>
      </c>
      <c r="H49" s="38" t="n"/>
      <c r="I49" s="38" t="n"/>
      <c r="J49" s="38" t="n"/>
      <c r="K49" s="38" t="n"/>
      <c r="L49" s="38" t="n"/>
      <c r="M49" s="38" t="n"/>
      <c r="N49" s="38" t="n"/>
      <c r="O49" s="38" t="n"/>
      <c r="P49" s="38" t="n"/>
      <c r="Q49" s="38" t="n"/>
      <c r="R49" s="38" t="n"/>
      <c r="S49" s="38" t="n"/>
    </row>
    <row r="50" ht="16" customHeight="1">
      <c r="A50" s="38" t="n"/>
      <c r="B50" s="143" t="inlineStr">
        <is>
          <t>India — Pure Offshore</t>
        </is>
      </c>
      <c r="C50" s="144" t="inlineStr">
        <is>
          <t>$120–$200</t>
        </is>
      </c>
      <c r="D50" s="144" t="inlineStr">
        <is>
          <t>$160–$240</t>
        </is>
      </c>
      <c r="E50" s="144" t="inlineStr">
        <is>
          <t>$150–$220</t>
        </is>
      </c>
      <c r="F50" s="145" t="inlineStr">
        <is>
          <t>10–50 FTEs</t>
        </is>
      </c>
      <c r="G50" s="145" t="inlineStr">
        <is>
          <t>Cost optimization; mature processes</t>
        </is>
      </c>
      <c r="H50" s="38" t="n"/>
      <c r="I50" s="38" t="n"/>
      <c r="J50" s="38" t="n"/>
      <c r="K50" s="38" t="n"/>
      <c r="L50" s="38" t="n"/>
      <c r="M50" s="38" t="n"/>
      <c r="N50" s="38" t="n"/>
      <c r="O50" s="38" t="n"/>
      <c r="P50" s="38" t="n"/>
      <c r="Q50" s="38" t="n"/>
      <c r="R50" s="38" t="n"/>
      <c r="S50" s="38" t="n"/>
    </row>
    <row r="51" ht="16" customHeight="1">
      <c r="A51" s="38" t="n"/>
      <c r="B51" s="146" t="inlineStr">
        <is>
          <t>India — Hybrid (on-site + offshore)</t>
        </is>
      </c>
      <c r="C51" s="55" t="inlineStr">
        <is>
          <t>$220–$380</t>
        </is>
      </c>
      <c r="D51" s="55" t="inlineStr">
        <is>
          <t>$280–$440</t>
        </is>
      </c>
      <c r="E51" s="55" t="inlineStr">
        <is>
          <t>$260–$420</t>
        </is>
      </c>
      <c r="F51" s="56" t="inlineStr">
        <is>
          <t>5–30 FTEs</t>
        </is>
      </c>
      <c r="G51" s="56" t="inlineStr">
        <is>
          <t>Balance of cost &amp; communication</t>
        </is>
      </c>
      <c r="H51" s="38" t="n"/>
      <c r="I51" s="38" t="n"/>
      <c r="J51" s="38" t="n"/>
      <c r="K51" s="38" t="n"/>
      <c r="L51" s="38" t="n"/>
      <c r="M51" s="38" t="n"/>
      <c r="N51" s="38" t="n"/>
      <c r="O51" s="38" t="n"/>
      <c r="P51" s="38" t="n"/>
      <c r="Q51" s="38" t="n"/>
      <c r="R51" s="38" t="n"/>
      <c r="S51" s="38" t="n"/>
    </row>
    <row r="52" ht="16" customHeight="1">
      <c r="A52" s="38" t="n"/>
      <c r="B52" s="143" t="inlineStr">
        <is>
          <t>Eastern Europe — Nearshore</t>
        </is>
      </c>
      <c r="C52" s="144" t="inlineStr">
        <is>
          <t>$300–$500</t>
        </is>
      </c>
      <c r="D52" s="144" t="inlineStr">
        <is>
          <t>$350–$550</t>
        </is>
      </c>
      <c r="E52" s="144" t="inlineStr">
        <is>
          <t>$320–$520</t>
        </is>
      </c>
      <c r="F52" s="145" t="inlineStr">
        <is>
          <t>5–20 FTEs</t>
        </is>
      </c>
      <c r="G52" s="145" t="inlineStr">
        <is>
          <t>EU timezone; strong engineering</t>
        </is>
      </c>
      <c r="H52" s="38" t="n"/>
      <c r="I52" s="38" t="n"/>
      <c r="J52" s="38" t="n"/>
      <c r="K52" s="38" t="n"/>
      <c r="L52" s="38" t="n"/>
      <c r="M52" s="38" t="n"/>
      <c r="N52" s="38" t="n"/>
      <c r="O52" s="38" t="n"/>
      <c r="P52" s="38" t="n"/>
      <c r="Q52" s="38" t="n"/>
      <c r="R52" s="38" t="n"/>
      <c r="S52" s="38" t="n"/>
    </row>
    <row r="53" ht="16" customHeight="1">
      <c r="A53" s="38" t="n"/>
      <c r="B53" s="146" t="inlineStr">
        <is>
          <t>USA / Canada — Onshore</t>
        </is>
      </c>
      <c r="C53" s="55" t="inlineStr">
        <is>
          <t>$600–$1,200</t>
        </is>
      </c>
      <c r="D53" s="55" t="inlineStr">
        <is>
          <t>$700–$1,400</t>
        </is>
      </c>
      <c r="E53" s="55" t="inlineStr">
        <is>
          <t>$650–$1,300</t>
        </is>
      </c>
      <c r="F53" s="56" t="inlineStr">
        <is>
          <t>3–15 FTEs</t>
        </is>
      </c>
      <c r="G53" s="56" t="inlineStr">
        <is>
          <t>Regulated industries; close collaboration</t>
        </is>
      </c>
      <c r="H53" s="38" t="n"/>
      <c r="I53" s="38" t="n"/>
      <c r="J53" s="38" t="n"/>
      <c r="K53" s="38" t="n"/>
      <c r="L53" s="38" t="n"/>
      <c r="M53" s="38" t="n"/>
      <c r="N53" s="38" t="n"/>
      <c r="O53" s="38" t="n"/>
      <c r="P53" s="38" t="n"/>
      <c r="Q53" s="38" t="n"/>
      <c r="R53" s="38" t="n"/>
      <c r="S53" s="38" t="n"/>
    </row>
    <row r="54" ht="16" customHeight="1">
      <c r="A54" s="38" t="n"/>
      <c r="B54" s="143" t="inlineStr">
        <is>
          <t>Australia / UK — Onshore</t>
        </is>
      </c>
      <c r="C54" s="144" t="inlineStr">
        <is>
          <t>$500–$1,000</t>
        </is>
      </c>
      <c r="D54" s="144" t="inlineStr">
        <is>
          <t>$600–$1,100</t>
        </is>
      </c>
      <c r="E54" s="144" t="inlineStr">
        <is>
          <t>$550–$1,050</t>
        </is>
      </c>
      <c r="F54" s="145" t="inlineStr">
        <is>
          <t>3–15 FTEs</t>
        </is>
      </c>
      <c r="G54" s="145" t="inlineStr">
        <is>
          <t>English market; APAC/EU timezone</t>
        </is>
      </c>
      <c r="H54" s="38" t="n"/>
      <c r="I54" s="38" t="n"/>
      <c r="J54" s="38" t="n"/>
      <c r="K54" s="38" t="n"/>
      <c r="L54" s="38" t="n"/>
      <c r="M54" s="38" t="n"/>
      <c r="N54" s="38" t="n"/>
      <c r="O54" s="38" t="n"/>
      <c r="P54" s="38" t="n"/>
      <c r="Q54" s="38" t="n"/>
      <c r="R54" s="38" t="n"/>
      <c r="S54" s="38" t="n"/>
    </row>
    <row r="55" ht="16" customHeight="1">
      <c r="A55" s="38" t="n"/>
      <c r="B55" s="146" t="inlineStr">
        <is>
          <t>Philippines — Offshore</t>
        </is>
      </c>
      <c r="C55" s="55" t="inlineStr">
        <is>
          <t>$130–$220</t>
        </is>
      </c>
      <c r="D55" s="55" t="inlineStr">
        <is>
          <t>$170–$260</t>
        </is>
      </c>
      <c r="E55" s="55" t="inlineStr">
        <is>
          <t>$160–$240</t>
        </is>
      </c>
      <c r="F55" s="56" t="inlineStr">
        <is>
          <t>10–40 FTEs</t>
        </is>
      </c>
      <c r="G55" s="56" t="inlineStr">
        <is>
          <t>English proficiency; BPO/testing strength</t>
        </is>
      </c>
      <c r="H55" s="38" t="n"/>
      <c r="I55" s="38" t="n"/>
      <c r="J55" s="38" t="n"/>
      <c r="K55" s="38" t="n"/>
      <c r="L55" s="38" t="n"/>
      <c r="M55" s="38" t="n"/>
      <c r="N55" s="38" t="n"/>
      <c r="O55" s="38" t="n"/>
      <c r="P55" s="38" t="n"/>
      <c r="Q55" s="38" t="n"/>
      <c r="R55" s="38" t="n"/>
      <c r="S55" s="38" t="n"/>
    </row>
    <row r="56" ht="16" customHeight="1">
      <c r="A56" s="38" t="n"/>
      <c r="B56" s="143" t="inlineStr">
        <is>
          <t>Latin America — Nearshore</t>
        </is>
      </c>
      <c r="C56" s="144" t="inlineStr">
        <is>
          <t>$250–$420</t>
        </is>
      </c>
      <c r="D56" s="144" t="inlineStr">
        <is>
          <t>$300–$480</t>
        </is>
      </c>
      <c r="E56" s="144" t="inlineStr">
        <is>
          <t>$280–$460</t>
        </is>
      </c>
      <c r="F56" s="145" t="inlineStr">
        <is>
          <t>5–20 FTEs</t>
        </is>
      </c>
      <c r="G56" s="145" t="inlineStr">
        <is>
          <t>US timezone; growing tech talent</t>
        </is>
      </c>
      <c r="H56" s="38" t="n"/>
      <c r="I56" s="38" t="n"/>
      <c r="J56" s="38" t="n"/>
      <c r="K56" s="38" t="n"/>
      <c r="L56" s="38" t="n"/>
      <c r="M56" s="38" t="n"/>
      <c r="N56" s="38" t="n"/>
      <c r="O56" s="38" t="n"/>
      <c r="P56" s="38" t="n"/>
      <c r="Q56" s="38" t="n"/>
      <c r="R56" s="38" t="n"/>
      <c r="S56" s="38" t="n"/>
    </row>
    <row r="57" ht="16" customHeight="1">
      <c r="A57" s="38" t="n"/>
      <c r="B57" s="146" t="inlineStr">
        <is>
          <t>Big 4 / Tier-1 SI (any geo)</t>
        </is>
      </c>
      <c r="C57" s="55" t="inlineStr">
        <is>
          <t>$800–$2,000</t>
        </is>
      </c>
      <c r="D57" s="55" t="inlineStr">
        <is>
          <t>$900–$2,200</t>
        </is>
      </c>
      <c r="E57" s="55" t="inlineStr">
        <is>
          <t>$850–$2,100</t>
        </is>
      </c>
      <c r="F57" s="56" t="inlineStr">
        <is>
          <t>Any</t>
        </is>
      </c>
      <c r="G57" s="56" t="inlineStr">
        <is>
          <t>Regulated/government; includes PM overhead</t>
        </is>
      </c>
      <c r="H57" s="38" t="n"/>
      <c r="I57" s="38" t="n"/>
      <c r="J57" s="38" t="n"/>
      <c r="K57" s="38" t="n"/>
      <c r="L57" s="38" t="n"/>
      <c r="M57" s="38" t="n"/>
      <c r="N57" s="38" t="n"/>
      <c r="O57" s="38" t="n"/>
      <c r="P57" s="38" t="n"/>
      <c r="Q57" s="38" t="n"/>
      <c r="R57" s="38" t="n"/>
      <c r="S57" s="38" t="n"/>
    </row>
    <row r="58" ht="16" customHeight="1">
      <c r="A58" s="38" t="n"/>
      <c r="B58" s="143" t="inlineStr">
        <is>
          <t>Boutique SI (India-based)</t>
        </is>
      </c>
      <c r="C58" s="144" t="inlineStr">
        <is>
          <t>$180–$320</t>
        </is>
      </c>
      <c r="D58" s="144" t="inlineStr">
        <is>
          <t>$220–$380</t>
        </is>
      </c>
      <c r="E58" s="144" t="inlineStr">
        <is>
          <t>$200–$360</t>
        </is>
      </c>
      <c r="F58" s="145" t="inlineStr">
        <is>
          <t>5–25 FTEs</t>
        </is>
      </c>
      <c r="G58" s="145" t="inlineStr">
        <is>
          <t>Domain-specific expertise; flexible</t>
        </is>
      </c>
      <c r="H58" s="38" t="n"/>
      <c r="I58" s="38" t="n"/>
      <c r="J58" s="38" t="n"/>
      <c r="K58" s="38" t="n"/>
      <c r="L58" s="38" t="n"/>
      <c r="M58" s="38" t="n"/>
      <c r="N58" s="38" t="n"/>
      <c r="O58" s="38" t="n"/>
      <c r="P58" s="38" t="n"/>
      <c r="Q58" s="38" t="n"/>
      <c r="R58" s="38" t="n"/>
      <c r="S58" s="38" t="n"/>
    </row>
    <row r="59" ht="16" customHeight="1">
      <c r="A59" s="38" t="n"/>
      <c r="B59" s="146" t="inlineStr">
        <is>
          <t>In-house team (India)</t>
        </is>
      </c>
      <c r="C59" s="55" t="inlineStr">
        <is>
          <t>$100–$180</t>
        </is>
      </c>
      <c r="D59" s="55" t="inlineStr">
        <is>
          <t>$140–$220</t>
        </is>
      </c>
      <c r="E59" s="55" t="inlineStr">
        <is>
          <t>$120–$200</t>
        </is>
      </c>
      <c r="F59" s="56" t="inlineStr">
        <is>
          <t>Varies</t>
        </is>
      </c>
      <c r="G59" s="56" t="inlineStr">
        <is>
          <t>Lower cost but includes HR overhead</t>
        </is>
      </c>
      <c r="H59" s="38" t="n"/>
      <c r="I59" s="38" t="n"/>
      <c r="J59" s="38" t="n"/>
      <c r="K59" s="38" t="n"/>
      <c r="L59" s="38" t="n"/>
      <c r="M59" s="38" t="n"/>
      <c r="N59" s="38" t="n"/>
      <c r="O59" s="38" t="n"/>
      <c r="P59" s="38" t="n"/>
      <c r="Q59" s="38" t="n"/>
      <c r="R59" s="38" t="n"/>
      <c r="S59" s="38" t="n"/>
    </row>
    <row r="60">
      <c r="A60" s="38" t="n"/>
      <c r="B60" s="38" t="n"/>
      <c r="C60" s="38" t="n"/>
      <c r="D60" s="38" t="n"/>
      <c r="E60" s="38" t="n"/>
      <c r="F60" s="38" t="n"/>
      <c r="G60" s="38" t="n"/>
      <c r="H60" s="38" t="n"/>
      <c r="I60" s="38" t="n"/>
      <c r="J60" s="38" t="n"/>
      <c r="K60" s="38" t="n"/>
      <c r="L60" s="38" t="n"/>
      <c r="M60" s="38" t="n"/>
      <c r="N60" s="38" t="n"/>
      <c r="O60" s="38" t="n"/>
      <c r="P60" s="38" t="n"/>
      <c r="Q60" s="38" t="n"/>
      <c r="R60" s="38" t="n"/>
      <c r="S60" s="38" t="n"/>
    </row>
    <row r="61">
      <c r="A61" s="38" t="n"/>
      <c r="B61" s="38" t="n"/>
      <c r="C61" s="38" t="n"/>
      <c r="D61" s="38" t="n"/>
      <c r="E61" s="38" t="n"/>
      <c r="F61" s="38" t="n"/>
      <c r="G61" s="38" t="n"/>
      <c r="H61" s="38" t="n"/>
      <c r="I61" s="38" t="n"/>
      <c r="J61" s="38" t="n"/>
      <c r="K61" s="38" t="n"/>
      <c r="L61" s="38" t="n"/>
      <c r="M61" s="38" t="n"/>
      <c r="N61" s="38" t="n"/>
      <c r="O61" s="38" t="n"/>
      <c r="P61" s="38" t="n"/>
      <c r="Q61" s="38" t="n"/>
      <c r="R61" s="38" t="n"/>
      <c r="S61" s="38" t="n"/>
    </row>
    <row r="62" ht="20" customHeight="1">
      <c r="A62" s="47" t="inlineStr">
        <is>
          <t>TABLE 4 — Gartner ERP / SAP Benchmark Data (IT Key Metrics Reference)</t>
        </is>
      </c>
      <c r="L62" s="38" t="n"/>
      <c r="M62" s="38" t="n"/>
      <c r="N62" s="38" t="n"/>
      <c r="O62" s="38" t="n"/>
      <c r="P62" s="38" t="n"/>
      <c r="Q62" s="38" t="n"/>
      <c r="R62" s="38" t="n"/>
      <c r="S62" s="38" t="n"/>
    </row>
    <row r="63" ht="24" customHeight="1">
      <c r="A63" s="38" t="n"/>
      <c r="B63" s="147" t="inlineStr">
        <is>
          <t>ERP Scenario</t>
        </is>
      </c>
      <c r="C63" s="147" t="inlineStr">
        <is>
          <t>RICEF UFP Range</t>
        </is>
      </c>
      <c r="D63" s="147" t="inlineStr">
        <is>
          <t>Config CPs</t>
        </is>
      </c>
      <c r="E63" s="147" t="inlineStr">
        <is>
          <t>Total Budget (₹ Cr)</t>
        </is>
      </c>
      <c r="F63" s="147" t="inlineStr">
        <is>
          <t>Total Budget ($M)</t>
        </is>
      </c>
      <c r="G63" s="147" t="inlineStr">
        <is>
          <t>Duration</t>
        </is>
      </c>
      <c r="H63" s="147" t="inlineStr">
        <is>
          <t>Team Size</t>
        </is>
      </c>
      <c r="I63" s="147" t="inlineStr">
        <is>
          <t>Benchmark Percentile</t>
        </is>
      </c>
      <c r="J63" s="38" t="n"/>
      <c r="K63" s="38" t="n"/>
      <c r="L63" s="38" t="n"/>
      <c r="M63" s="38" t="n"/>
      <c r="N63" s="38" t="n"/>
      <c r="O63" s="38" t="n"/>
      <c r="P63" s="38" t="n"/>
      <c r="Q63" s="38" t="n"/>
      <c r="R63" s="38" t="n"/>
      <c r="S63" s="38" t="n"/>
    </row>
    <row r="64" ht="16" customHeight="1">
      <c r="A64" s="38" t="n"/>
      <c r="B64" s="148" t="inlineStr">
        <is>
          <t>SAP FI/CO — Small (1–3 Co. Codes)</t>
        </is>
      </c>
      <c r="C64" s="149" t="inlineStr">
        <is>
          <t>50–120 UFP</t>
        </is>
      </c>
      <c r="D64" s="149" t="inlineStr">
        <is>
          <t>30–60 CPs</t>
        </is>
      </c>
      <c r="E64" s="149" t="inlineStr">
        <is>
          <t>₹1.5–3.5 Cr</t>
        </is>
      </c>
      <c r="F64" s="149" t="inlineStr">
        <is>
          <t>$0.2–0.5M</t>
        </is>
      </c>
      <c r="G64" s="149" t="inlineStr">
        <is>
          <t>6–10 months</t>
        </is>
      </c>
      <c r="H64" s="149" t="inlineStr">
        <is>
          <t>4–7 FTEs</t>
        </is>
      </c>
      <c r="I64" s="149" t="inlineStr">
        <is>
          <t>Median</t>
        </is>
      </c>
      <c r="J64" s="38" t="n"/>
      <c r="K64" s="38" t="n"/>
      <c r="L64" s="38" t="n"/>
      <c r="M64" s="38" t="n"/>
      <c r="N64" s="38" t="n"/>
      <c r="O64" s="38" t="n"/>
      <c r="P64" s="38" t="n"/>
      <c r="Q64" s="38" t="n"/>
      <c r="R64" s="38" t="n"/>
      <c r="S64" s="38" t="n"/>
    </row>
    <row r="65" ht="16" customHeight="1">
      <c r="A65" s="38" t="n"/>
      <c r="B65" s="150" t="inlineStr">
        <is>
          <t>SAP FI/CO — Mid (4–12 Co. Codes)</t>
        </is>
      </c>
      <c r="C65" s="55" t="inlineStr">
        <is>
          <t>120–280 UFP</t>
        </is>
      </c>
      <c r="D65" s="55" t="inlineStr">
        <is>
          <t>60–130 CPs</t>
        </is>
      </c>
      <c r="E65" s="55" t="inlineStr">
        <is>
          <t>₹4–12 Cr</t>
        </is>
      </c>
      <c r="F65" s="55" t="inlineStr">
        <is>
          <t>$0.5–1.5M</t>
        </is>
      </c>
      <c r="G65" s="55" t="inlineStr">
        <is>
          <t>10–18 months</t>
        </is>
      </c>
      <c r="H65" s="55" t="inlineStr">
        <is>
          <t>8–14 FTEs</t>
        </is>
      </c>
      <c r="I65" s="55" t="inlineStr">
        <is>
          <t>Median</t>
        </is>
      </c>
      <c r="J65" s="38" t="n"/>
      <c r="K65" s="38" t="n"/>
      <c r="L65" s="38" t="n"/>
      <c r="M65" s="38" t="n"/>
      <c r="N65" s="38" t="n"/>
      <c r="O65" s="38" t="n"/>
      <c r="P65" s="38" t="n"/>
      <c r="Q65" s="38" t="n"/>
      <c r="R65" s="38" t="n"/>
      <c r="S65" s="38" t="n"/>
    </row>
    <row r="66" ht="16" customHeight="1">
      <c r="A66" s="38" t="n"/>
      <c r="B66" s="148" t="inlineStr">
        <is>
          <t>SAP FI/CO — Large (12+ Co. Codes)</t>
        </is>
      </c>
      <c r="C66" s="149" t="inlineStr">
        <is>
          <t>280–600 UFP</t>
        </is>
      </c>
      <c r="D66" s="149" t="inlineStr">
        <is>
          <t>130–300 CPs</t>
        </is>
      </c>
      <c r="E66" s="149" t="inlineStr">
        <is>
          <t>₹12–35 Cr</t>
        </is>
      </c>
      <c r="F66" s="149" t="inlineStr">
        <is>
          <t>$1.5–4.5M</t>
        </is>
      </c>
      <c r="G66" s="149" t="inlineStr">
        <is>
          <t>18–36 months</t>
        </is>
      </c>
      <c r="H66" s="149" t="inlineStr">
        <is>
          <t>15–30 FTEs</t>
        </is>
      </c>
      <c r="I66" s="149" t="inlineStr">
        <is>
          <t>Median</t>
        </is>
      </c>
      <c r="J66" s="38" t="n"/>
      <c r="K66" s="38" t="n"/>
      <c r="L66" s="38" t="n"/>
      <c r="M66" s="38" t="n"/>
      <c r="N66" s="38" t="n"/>
      <c r="O66" s="38" t="n"/>
      <c r="P66" s="38" t="n"/>
      <c r="Q66" s="38" t="n"/>
      <c r="R66" s="38" t="n"/>
      <c r="S66" s="38" t="n"/>
    </row>
    <row r="67" ht="16" customHeight="1">
      <c r="A67" s="38" t="n"/>
      <c r="B67" s="150" t="inlineStr">
        <is>
          <t>SAP S/4HANA Full Suite (Mid)</t>
        </is>
      </c>
      <c r="C67" s="55" t="inlineStr">
        <is>
          <t>400–800 UFP</t>
        </is>
      </c>
      <c r="D67" s="55" t="inlineStr">
        <is>
          <t>200–450 CPs</t>
        </is>
      </c>
      <c r="E67" s="55" t="inlineStr">
        <is>
          <t>₹25–75 Cr</t>
        </is>
      </c>
      <c r="F67" s="55" t="inlineStr">
        <is>
          <t>$3–10M</t>
        </is>
      </c>
      <c r="G67" s="55" t="inlineStr">
        <is>
          <t>24–42 months</t>
        </is>
      </c>
      <c r="H67" s="55" t="inlineStr">
        <is>
          <t>25–60 FTEs</t>
        </is>
      </c>
      <c r="I67" s="55" t="inlineStr">
        <is>
          <t>Median</t>
        </is>
      </c>
      <c r="J67" s="38" t="n"/>
      <c r="K67" s="38" t="n"/>
      <c r="L67" s="38" t="n"/>
      <c r="M67" s="38" t="n"/>
      <c r="N67" s="38" t="n"/>
      <c r="O67" s="38" t="n"/>
      <c r="P67" s="38" t="n"/>
      <c r="Q67" s="38" t="n"/>
      <c r="R67" s="38" t="n"/>
      <c r="S67" s="38" t="n"/>
    </row>
    <row r="68" ht="16" customHeight="1">
      <c r="A68" s="38" t="n"/>
      <c r="B68" s="148" t="inlineStr">
        <is>
          <t>Oracle Cloud ERP (Mid)</t>
        </is>
      </c>
      <c r="C68" s="149" t="inlineStr">
        <is>
          <t>300–650 UFP</t>
        </is>
      </c>
      <c r="D68" s="149" t="inlineStr">
        <is>
          <t>180–400 CPs</t>
        </is>
      </c>
      <c r="E68" s="149" t="inlineStr">
        <is>
          <t>₹20–60 Cr</t>
        </is>
      </c>
      <c r="F68" s="149" t="inlineStr">
        <is>
          <t>$2.5–8M</t>
        </is>
      </c>
      <c r="G68" s="149" t="inlineStr">
        <is>
          <t>18–36 months</t>
        </is>
      </c>
      <c r="H68" s="149" t="inlineStr">
        <is>
          <t>20–50 FTEs</t>
        </is>
      </c>
      <c r="I68" s="149" t="inlineStr">
        <is>
          <t>Median</t>
        </is>
      </c>
      <c r="J68" s="38" t="n"/>
      <c r="K68" s="38" t="n"/>
      <c r="L68" s="38" t="n"/>
      <c r="M68" s="38" t="n"/>
      <c r="N68" s="38" t="n"/>
      <c r="O68" s="38" t="n"/>
      <c r="P68" s="38" t="n"/>
      <c r="Q68" s="38" t="n"/>
      <c r="R68" s="38" t="n"/>
      <c r="S68" s="38" t="n"/>
    </row>
    <row r="69" ht="16" customHeight="1">
      <c r="A69" s="38" t="n"/>
      <c r="B69" s="150" t="inlineStr">
        <is>
          <t>Microsoft D365 F&amp;O (Mid)</t>
        </is>
      </c>
      <c r="C69" s="55" t="inlineStr">
        <is>
          <t>200–500 UFP</t>
        </is>
      </c>
      <c r="D69" s="55" t="inlineStr">
        <is>
          <t>120–280 CPs</t>
        </is>
      </c>
      <c r="E69" s="55" t="inlineStr">
        <is>
          <t>₹12–40 Cr</t>
        </is>
      </c>
      <c r="F69" s="55" t="inlineStr">
        <is>
          <t>$1.5–5M</t>
        </is>
      </c>
      <c r="G69" s="55" t="inlineStr">
        <is>
          <t>12–24 months</t>
        </is>
      </c>
      <c r="H69" s="55" t="inlineStr">
        <is>
          <t>12–30 FTEs</t>
        </is>
      </c>
      <c r="I69" s="55" t="inlineStr">
        <is>
          <t>Median</t>
        </is>
      </c>
      <c r="J69" s="38" t="n"/>
      <c r="K69" s="38" t="n"/>
      <c r="L69" s="38" t="n"/>
      <c r="M69" s="38" t="n"/>
      <c r="N69" s="38" t="n"/>
      <c r="O69" s="38" t="n"/>
      <c r="P69" s="38" t="n"/>
      <c r="Q69" s="38" t="n"/>
      <c r="R69" s="38" t="n"/>
      <c r="S69" s="38" t="n"/>
    </row>
    <row r="70" ht="16" customHeight="1">
      <c r="A70" s="38" t="n"/>
      <c r="B70" s="148" t="inlineStr">
        <is>
          <t>Salesforce CRM (Mid)</t>
        </is>
      </c>
      <c r="C70" s="149" t="inlineStr">
        <is>
          <t>150–350 UFP</t>
        </is>
      </c>
      <c r="D70" s="149" t="inlineStr">
        <is>
          <t>80–180 CPs</t>
        </is>
      </c>
      <c r="E70" s="149" t="inlineStr">
        <is>
          <t>₹6–20 Cr</t>
        </is>
      </c>
      <c r="F70" s="149" t="inlineStr">
        <is>
          <t>$0.8–2.5M</t>
        </is>
      </c>
      <c r="G70" s="149" t="inlineStr">
        <is>
          <t>8–18 months</t>
        </is>
      </c>
      <c r="H70" s="149" t="inlineStr">
        <is>
          <t>8–20 FTEs</t>
        </is>
      </c>
      <c r="I70" s="149" t="inlineStr">
        <is>
          <t>Median</t>
        </is>
      </c>
      <c r="J70" s="38" t="n"/>
      <c r="K70" s="38" t="n"/>
      <c r="L70" s="38" t="n"/>
      <c r="M70" s="38" t="n"/>
      <c r="N70" s="38" t="n"/>
      <c r="O70" s="38" t="n"/>
      <c r="P70" s="38" t="n"/>
      <c r="Q70" s="38" t="n"/>
      <c r="R70" s="38" t="n"/>
      <c r="S70" s="38" t="n"/>
    </row>
    <row r="71" ht="16" customHeight="1">
      <c r="A71" s="38" t="n"/>
      <c r="B71" s="150" t="inlineStr">
        <is>
          <t>Custom ERP (Java/Python)</t>
        </is>
      </c>
      <c r="C71" s="55" t="inlineStr">
        <is>
          <t>500–1200 UFP</t>
        </is>
      </c>
      <c r="D71" s="55" t="inlineStr">
        <is>
          <t>N/A</t>
        </is>
      </c>
      <c r="E71" s="55" t="inlineStr">
        <is>
          <t>₹20–80 Cr</t>
        </is>
      </c>
      <c r="F71" s="55" t="inlineStr">
        <is>
          <t>$2.5–10M</t>
        </is>
      </c>
      <c r="G71" s="55" t="inlineStr">
        <is>
          <t>18–48 months</t>
        </is>
      </c>
      <c r="H71" s="55" t="inlineStr">
        <is>
          <t>20–60 FTEs</t>
        </is>
      </c>
      <c r="I71" s="55" t="inlineStr">
        <is>
          <t>Median</t>
        </is>
      </c>
      <c r="J71" s="38" t="n"/>
      <c r="K71" s="38" t="n"/>
      <c r="L71" s="38" t="n"/>
      <c r="M71" s="38" t="n"/>
      <c r="N71" s="38" t="n"/>
      <c r="O71" s="38" t="n"/>
      <c r="P71" s="38" t="n"/>
      <c r="Q71" s="38" t="n"/>
      <c r="R71" s="38" t="n"/>
      <c r="S71" s="38" t="n"/>
    </row>
    <row r="72">
      <c r="A72" s="38" t="n"/>
      <c r="B72" s="38" t="n"/>
      <c r="C72" s="38" t="n"/>
      <c r="D72" s="38" t="n"/>
      <c r="E72" s="38" t="n"/>
      <c r="F72" s="38" t="n"/>
      <c r="G72" s="38" t="n"/>
      <c r="H72" s="38" t="n"/>
      <c r="I72" s="38" t="n"/>
      <c r="J72" s="38" t="n"/>
      <c r="K72" s="38" t="n"/>
      <c r="L72" s="38" t="n"/>
      <c r="M72" s="38" t="n"/>
      <c r="N72" s="38" t="n"/>
      <c r="O72" s="38" t="n"/>
      <c r="P72" s="38" t="n"/>
      <c r="Q72" s="38" t="n"/>
      <c r="R72" s="38" t="n"/>
      <c r="S72" s="38" t="n"/>
    </row>
    <row r="73">
      <c r="A73" s="38" t="n"/>
      <c r="B73" s="38" t="n"/>
      <c r="C73" s="38" t="n"/>
      <c r="D73" s="38" t="n"/>
      <c r="E73" s="38" t="n"/>
      <c r="F73" s="38" t="n"/>
      <c r="G73" s="38" t="n"/>
      <c r="H73" s="38" t="n"/>
      <c r="I73" s="38" t="n"/>
      <c r="J73" s="38" t="n"/>
      <c r="K73" s="38" t="n"/>
      <c r="L73" s="38" t="n"/>
      <c r="M73" s="38" t="n"/>
      <c r="N73" s="38" t="n"/>
      <c r="O73" s="38" t="n"/>
      <c r="P73" s="38" t="n"/>
      <c r="Q73" s="38" t="n"/>
      <c r="R73" s="38" t="n"/>
      <c r="S73" s="38" t="n"/>
    </row>
    <row r="74">
      <c r="A74" s="38" t="n"/>
      <c r="B74" s="38" t="n"/>
      <c r="C74" s="38" t="n"/>
      <c r="D74" s="38" t="n"/>
      <c r="E74" s="38" t="n"/>
      <c r="F74" s="38" t="n"/>
      <c r="G74" s="38" t="n"/>
      <c r="H74" s="38" t="n"/>
      <c r="I74" s="38" t="n"/>
      <c r="J74" s="38" t="n"/>
      <c r="K74" s="38" t="n"/>
      <c r="L74" s="38" t="n"/>
      <c r="M74" s="38" t="n"/>
      <c r="N74" s="38" t="n"/>
      <c r="O74" s="38" t="n"/>
      <c r="P74" s="38" t="n"/>
      <c r="Q74" s="38" t="n"/>
      <c r="R74" s="38" t="n"/>
      <c r="S74" s="38" t="n"/>
    </row>
    <row r="75">
      <c r="A75" s="38" t="n"/>
      <c r="B75" s="38" t="n"/>
      <c r="C75" s="38" t="n"/>
      <c r="D75" s="38" t="n"/>
      <c r="E75" s="38" t="n"/>
      <c r="F75" s="38" t="n"/>
      <c r="G75" s="38" t="n"/>
      <c r="H75" s="38" t="n"/>
      <c r="I75" s="38" t="n"/>
      <c r="J75" s="38" t="n"/>
      <c r="K75" s="38" t="n"/>
      <c r="L75" s="38" t="n"/>
      <c r="M75" s="38" t="n"/>
      <c r="N75" s="38" t="n"/>
      <c r="O75" s="38" t="n"/>
      <c r="P75" s="38" t="n"/>
      <c r="Q75" s="38" t="n"/>
      <c r="R75" s="38" t="n"/>
      <c r="S75" s="38" t="n"/>
    </row>
    <row r="76">
      <c r="A76" s="38" t="n"/>
      <c r="B76" s="38" t="n"/>
      <c r="C76" s="38" t="n"/>
      <c r="D76" s="38" t="n"/>
      <c r="E76" s="38" t="n"/>
      <c r="F76" s="38" t="n"/>
      <c r="G76" s="38" t="n"/>
      <c r="H76" s="38" t="n"/>
      <c r="I76" s="38" t="n"/>
      <c r="J76" s="38" t="n"/>
      <c r="K76" s="38" t="n"/>
      <c r="L76" s="38" t="n"/>
      <c r="M76" s="38" t="n"/>
      <c r="N76" s="38" t="n"/>
      <c r="O76" s="38" t="n"/>
      <c r="P76" s="38" t="n"/>
      <c r="Q76" s="38" t="n"/>
      <c r="R76" s="38" t="n"/>
      <c r="S76" s="38" t="n"/>
    </row>
    <row r="77">
      <c r="A77" s="38" t="n"/>
      <c r="B77" s="38" t="n"/>
      <c r="C77" s="38" t="n"/>
      <c r="D77" s="38" t="n"/>
      <c r="E77" s="38" t="n"/>
      <c r="F77" s="38" t="n"/>
      <c r="G77" s="38" t="n"/>
      <c r="H77" s="38" t="n"/>
      <c r="I77" s="38" t="n"/>
      <c r="J77" s="38" t="n"/>
      <c r="K77" s="38" t="n"/>
      <c r="L77" s="38" t="n"/>
      <c r="M77" s="38" t="n"/>
      <c r="N77" s="38" t="n"/>
      <c r="O77" s="38" t="n"/>
      <c r="P77" s="38" t="n"/>
      <c r="Q77" s="38" t="n"/>
      <c r="R77" s="38" t="n"/>
      <c r="S77" s="38" t="n"/>
    </row>
    <row r="78">
      <c r="A78" s="38" t="n"/>
      <c r="B78" s="38" t="n"/>
      <c r="C78" s="38" t="n"/>
      <c r="D78" s="38" t="n"/>
      <c r="E78" s="38" t="n"/>
      <c r="F78" s="38" t="n"/>
      <c r="G78" s="38" t="n"/>
      <c r="H78" s="38" t="n"/>
      <c r="I78" s="38" t="n"/>
      <c r="J78" s="38" t="n"/>
      <c r="K78" s="38" t="n"/>
      <c r="L78" s="38" t="n"/>
      <c r="M78" s="38" t="n"/>
      <c r="N78" s="38" t="n"/>
      <c r="O78" s="38" t="n"/>
      <c r="P78" s="38" t="n"/>
      <c r="Q78" s="38" t="n"/>
      <c r="R78" s="38" t="n"/>
      <c r="S78" s="38" t="n"/>
    </row>
    <row r="79">
      <c r="A79" s="38" t="n"/>
      <c r="B79" s="38" t="n"/>
      <c r="C79" s="38" t="n"/>
      <c r="D79" s="38" t="n"/>
      <c r="E79" s="38" t="n"/>
      <c r="F79" s="38" t="n"/>
      <c r="G79" s="38" t="n"/>
      <c r="H79" s="38" t="n"/>
      <c r="I79" s="38" t="n"/>
      <c r="J79" s="38" t="n"/>
      <c r="K79" s="38" t="n"/>
      <c r="L79" s="38" t="n"/>
      <c r="M79" s="38" t="n"/>
      <c r="N79" s="38" t="n"/>
      <c r="O79" s="38" t="n"/>
      <c r="P79" s="38" t="n"/>
      <c r="Q79" s="38" t="n"/>
      <c r="R79" s="38" t="n"/>
      <c r="S79" s="38" t="n"/>
    </row>
    <row r="80">
      <c r="A80" s="38" t="n"/>
      <c r="B80" s="38" t="n"/>
      <c r="C80" s="38" t="n"/>
      <c r="D80" s="38" t="n"/>
      <c r="E80" s="38" t="n"/>
      <c r="F80" s="38" t="n"/>
      <c r="G80" s="38" t="n"/>
      <c r="H80" s="38" t="n"/>
      <c r="I80" s="38" t="n"/>
      <c r="J80" s="38" t="n"/>
      <c r="K80" s="38" t="n"/>
      <c r="L80" s="38" t="n"/>
      <c r="M80" s="38" t="n"/>
      <c r="N80" s="38" t="n"/>
      <c r="O80" s="38" t="n"/>
      <c r="P80" s="38" t="n"/>
      <c r="Q80" s="38" t="n"/>
      <c r="R80" s="38" t="n"/>
      <c r="S80" s="38" t="n"/>
    </row>
    <row r="81">
      <c r="A81" s="38" t="n"/>
      <c r="B81" s="38" t="n"/>
      <c r="C81" s="38" t="n"/>
      <c r="D81" s="38" t="n"/>
      <c r="E81" s="38" t="n"/>
      <c r="F81" s="38" t="n"/>
      <c r="G81" s="38" t="n"/>
      <c r="H81" s="38" t="n"/>
      <c r="I81" s="38" t="n"/>
      <c r="J81" s="38" t="n"/>
      <c r="K81" s="38" t="n"/>
      <c r="L81" s="38" t="n"/>
      <c r="M81" s="38" t="n"/>
      <c r="N81" s="38" t="n"/>
      <c r="O81" s="38" t="n"/>
      <c r="P81" s="38" t="n"/>
      <c r="Q81" s="38" t="n"/>
      <c r="R81" s="38" t="n"/>
      <c r="S81" s="38" t="n"/>
    </row>
    <row r="82">
      <c r="A82" s="38" t="n"/>
      <c r="B82" s="38" t="n"/>
      <c r="C82" s="38" t="n"/>
      <c r="D82" s="38" t="n"/>
      <c r="E82" s="38" t="n"/>
      <c r="F82" s="38" t="n"/>
      <c r="G82" s="38" t="n"/>
      <c r="H82" s="38" t="n"/>
      <c r="I82" s="38" t="n"/>
      <c r="J82" s="38" t="n"/>
      <c r="K82" s="38" t="n"/>
      <c r="L82" s="38" t="n"/>
      <c r="M82" s="38" t="n"/>
      <c r="N82" s="38" t="n"/>
      <c r="O82" s="38" t="n"/>
      <c r="P82" s="38" t="n"/>
      <c r="Q82" s="38" t="n"/>
      <c r="R82" s="38" t="n"/>
      <c r="S82" s="38" t="n"/>
    </row>
    <row r="83">
      <c r="A83" s="38" t="n"/>
      <c r="B83" s="38" t="n"/>
      <c r="C83" s="38" t="n"/>
      <c r="D83" s="38" t="n"/>
      <c r="E83" s="38" t="n"/>
      <c r="F83" s="38" t="n"/>
      <c r="G83" s="38" t="n"/>
      <c r="H83" s="38" t="n"/>
      <c r="I83" s="38" t="n"/>
      <c r="J83" s="38" t="n"/>
      <c r="K83" s="38" t="n"/>
      <c r="L83" s="38" t="n"/>
      <c r="M83" s="38" t="n"/>
      <c r="N83" s="38" t="n"/>
      <c r="O83" s="38" t="n"/>
      <c r="P83" s="38" t="n"/>
      <c r="Q83" s="38" t="n"/>
      <c r="R83" s="38" t="n"/>
      <c r="S83" s="38" t="n"/>
    </row>
    <row r="84">
      <c r="A84" s="38" t="n"/>
      <c r="B84" s="38" t="n"/>
      <c r="C84" s="38" t="n"/>
      <c r="D84" s="38" t="n"/>
      <c r="E84" s="38" t="n"/>
      <c r="F84" s="38" t="n"/>
      <c r="G84" s="38" t="n"/>
      <c r="H84" s="38" t="n"/>
      <c r="I84" s="38" t="n"/>
      <c r="J84" s="38" t="n"/>
      <c r="K84" s="38" t="n"/>
      <c r="L84" s="38" t="n"/>
      <c r="M84" s="38" t="n"/>
      <c r="N84" s="38" t="n"/>
      <c r="O84" s="38" t="n"/>
      <c r="P84" s="38" t="n"/>
      <c r="Q84" s="38" t="n"/>
      <c r="R84" s="38" t="n"/>
      <c r="S84" s="38" t="n"/>
    </row>
    <row r="85">
      <c r="A85" s="38" t="n"/>
      <c r="B85" s="38" t="n"/>
      <c r="C85" s="38" t="n"/>
      <c r="D85" s="38" t="n"/>
      <c r="E85" s="38" t="n"/>
      <c r="F85" s="38" t="n"/>
      <c r="G85" s="38" t="n"/>
      <c r="H85" s="38" t="n"/>
      <c r="I85" s="38" t="n"/>
      <c r="J85" s="38" t="n"/>
      <c r="K85" s="38" t="n"/>
      <c r="L85" s="38" t="n"/>
      <c r="M85" s="38" t="n"/>
      <c r="N85" s="38" t="n"/>
      <c r="O85" s="38" t="n"/>
      <c r="P85" s="38" t="n"/>
      <c r="Q85" s="38" t="n"/>
      <c r="R85" s="38" t="n"/>
      <c r="S85" s="38" t="n"/>
    </row>
    <row r="86">
      <c r="A86" s="38" t="n"/>
      <c r="B86" s="38" t="n"/>
      <c r="C86" s="38" t="n"/>
      <c r="D86" s="38" t="n"/>
      <c r="E86" s="38" t="n"/>
      <c r="F86" s="38" t="n"/>
      <c r="G86" s="38" t="n"/>
      <c r="H86" s="38" t="n"/>
      <c r="I86" s="38" t="n"/>
      <c r="J86" s="38" t="n"/>
      <c r="K86" s="38" t="n"/>
      <c r="L86" s="38" t="n"/>
      <c r="M86" s="38" t="n"/>
      <c r="N86" s="38" t="n"/>
      <c r="O86" s="38" t="n"/>
      <c r="P86" s="38" t="n"/>
      <c r="Q86" s="38" t="n"/>
      <c r="R86" s="38" t="n"/>
      <c r="S86" s="38" t="n"/>
    </row>
    <row r="87">
      <c r="A87" s="38" t="n"/>
      <c r="B87" s="38" t="n"/>
      <c r="C87" s="38" t="n"/>
      <c r="D87" s="38" t="n"/>
      <c r="E87" s="38" t="n"/>
      <c r="F87" s="38" t="n"/>
      <c r="G87" s="38" t="n"/>
      <c r="H87" s="38" t="n"/>
      <c r="I87" s="38" t="n"/>
      <c r="J87" s="38" t="n"/>
      <c r="K87" s="38" t="n"/>
      <c r="L87" s="38" t="n"/>
      <c r="M87" s="38" t="n"/>
      <c r="N87" s="38" t="n"/>
      <c r="O87" s="38" t="n"/>
      <c r="P87" s="38" t="n"/>
      <c r="Q87" s="38" t="n"/>
      <c r="R87" s="38" t="n"/>
      <c r="S87" s="38" t="n"/>
    </row>
    <row r="88">
      <c r="A88" s="38" t="n"/>
      <c r="B88" s="38" t="n"/>
      <c r="C88" s="38" t="n"/>
      <c r="D88" s="38" t="n"/>
      <c r="E88" s="38" t="n"/>
      <c r="F88" s="38" t="n"/>
      <c r="G88" s="38" t="n"/>
      <c r="H88" s="38" t="n"/>
      <c r="I88" s="38" t="n"/>
      <c r="J88" s="38" t="n"/>
      <c r="K88" s="38" t="n"/>
      <c r="L88" s="38" t="n"/>
      <c r="M88" s="38" t="n"/>
      <c r="N88" s="38" t="n"/>
      <c r="O88" s="38" t="n"/>
      <c r="P88" s="38" t="n"/>
      <c r="Q88" s="38" t="n"/>
      <c r="R88" s="38" t="n"/>
      <c r="S88" s="38" t="n"/>
    </row>
    <row r="89">
      <c r="A89" s="38" t="n"/>
      <c r="B89" s="38" t="n"/>
      <c r="C89" s="38" t="n"/>
      <c r="D89" s="38" t="n"/>
      <c r="E89" s="38" t="n"/>
      <c r="F89" s="38" t="n"/>
      <c r="G89" s="38" t="n"/>
      <c r="H89" s="38" t="n"/>
      <c r="I89" s="38" t="n"/>
      <c r="J89" s="38" t="n"/>
      <c r="K89" s="38" t="n"/>
      <c r="L89" s="38" t="n"/>
      <c r="M89" s="38" t="n"/>
      <c r="N89" s="38" t="n"/>
      <c r="O89" s="38" t="n"/>
      <c r="P89" s="38" t="n"/>
      <c r="Q89" s="38" t="n"/>
      <c r="R89" s="38" t="n"/>
      <c r="S89" s="38" t="n"/>
    </row>
    <row r="90">
      <c r="A90" s="38" t="n"/>
      <c r="B90" s="38" t="n"/>
      <c r="C90" s="38" t="n"/>
      <c r="D90" s="38" t="n"/>
      <c r="E90" s="38" t="n"/>
      <c r="F90" s="38" t="n"/>
      <c r="G90" s="38" t="n"/>
      <c r="H90" s="38" t="n"/>
      <c r="I90" s="38" t="n"/>
      <c r="J90" s="38" t="n"/>
      <c r="K90" s="38" t="n"/>
      <c r="L90" s="38" t="n"/>
      <c r="M90" s="38" t="n"/>
      <c r="N90" s="38" t="n"/>
      <c r="O90" s="38" t="n"/>
      <c r="P90" s="38" t="n"/>
      <c r="Q90" s="38" t="n"/>
      <c r="R90" s="38" t="n"/>
      <c r="S90" s="38" t="n"/>
    </row>
    <row r="91">
      <c r="A91" s="38" t="n"/>
      <c r="B91" s="38" t="n"/>
      <c r="C91" s="38" t="n"/>
      <c r="D91" s="38" t="n"/>
      <c r="E91" s="38" t="n"/>
      <c r="F91" s="38" t="n"/>
      <c r="G91" s="38" t="n"/>
      <c r="H91" s="38" t="n"/>
      <c r="I91" s="38" t="n"/>
      <c r="J91" s="38" t="n"/>
      <c r="K91" s="38" t="n"/>
      <c r="L91" s="38" t="n"/>
      <c r="M91" s="38" t="n"/>
      <c r="N91" s="38" t="n"/>
      <c r="O91" s="38" t="n"/>
      <c r="P91" s="38" t="n"/>
      <c r="Q91" s="38" t="n"/>
      <c r="R91" s="38" t="n"/>
      <c r="S91" s="38" t="n"/>
    </row>
    <row r="92">
      <c r="A92" s="38" t="n"/>
      <c r="B92" s="38" t="n"/>
      <c r="C92" s="38" t="n"/>
      <c r="D92" s="38" t="n"/>
      <c r="E92" s="38" t="n"/>
      <c r="F92" s="38" t="n"/>
      <c r="G92" s="38" t="n"/>
      <c r="H92" s="38" t="n"/>
      <c r="I92" s="38" t="n"/>
      <c r="J92" s="38" t="n"/>
      <c r="K92" s="38" t="n"/>
      <c r="L92" s="38" t="n"/>
      <c r="M92" s="38" t="n"/>
      <c r="N92" s="38" t="n"/>
      <c r="O92" s="38" t="n"/>
      <c r="P92" s="38" t="n"/>
      <c r="Q92" s="38" t="n"/>
      <c r="R92" s="38" t="n"/>
      <c r="S92" s="38" t="n"/>
    </row>
    <row r="93">
      <c r="A93" s="38" t="n"/>
      <c r="B93" s="38" t="n"/>
      <c r="C93" s="38" t="n"/>
      <c r="D93" s="38" t="n"/>
      <c r="E93" s="38" t="n"/>
      <c r="F93" s="38" t="n"/>
      <c r="G93" s="38" t="n"/>
      <c r="H93" s="38" t="n"/>
      <c r="I93" s="38" t="n"/>
      <c r="J93" s="38" t="n"/>
      <c r="K93" s="38" t="n"/>
      <c r="L93" s="38" t="n"/>
      <c r="M93" s="38" t="n"/>
      <c r="N93" s="38" t="n"/>
      <c r="O93" s="38" t="n"/>
      <c r="P93" s="38" t="n"/>
      <c r="Q93" s="38" t="n"/>
      <c r="R93" s="38" t="n"/>
      <c r="S93" s="38" t="n"/>
    </row>
    <row r="94">
      <c r="A94" s="38" t="n"/>
      <c r="B94" s="38" t="n"/>
      <c r="C94" s="38" t="n"/>
      <c r="D94" s="38" t="n"/>
      <c r="E94" s="38" t="n"/>
      <c r="F94" s="38" t="n"/>
      <c r="G94" s="38" t="n"/>
      <c r="H94" s="38" t="n"/>
      <c r="I94" s="38" t="n"/>
      <c r="J94" s="38" t="n"/>
      <c r="K94" s="38" t="n"/>
      <c r="L94" s="38" t="n"/>
      <c r="M94" s="38" t="n"/>
      <c r="N94" s="38" t="n"/>
      <c r="O94" s="38" t="n"/>
      <c r="P94" s="38" t="n"/>
      <c r="Q94" s="38" t="n"/>
      <c r="R94" s="38" t="n"/>
      <c r="S94" s="38" t="n"/>
    </row>
    <row r="95">
      <c r="A95" s="38" t="n"/>
      <c r="B95" s="38" t="n"/>
      <c r="C95" s="38" t="n"/>
      <c r="D95" s="38" t="n"/>
      <c r="E95" s="38" t="n"/>
      <c r="F95" s="38" t="n"/>
      <c r="G95" s="38" t="n"/>
      <c r="H95" s="38" t="n"/>
      <c r="I95" s="38" t="n"/>
      <c r="J95" s="38" t="n"/>
      <c r="K95" s="38" t="n"/>
      <c r="L95" s="38" t="n"/>
      <c r="M95" s="38" t="n"/>
      <c r="N95" s="38" t="n"/>
      <c r="O95" s="38" t="n"/>
      <c r="P95" s="38" t="n"/>
      <c r="Q95" s="38" t="n"/>
      <c r="R95" s="38" t="n"/>
      <c r="S95" s="38" t="n"/>
    </row>
    <row r="96">
      <c r="A96" s="38" t="n"/>
      <c r="B96" s="38" t="n"/>
      <c r="C96" s="38" t="n"/>
      <c r="D96" s="38" t="n"/>
      <c r="E96" s="38" t="n"/>
      <c r="F96" s="38" t="n"/>
      <c r="G96" s="38" t="n"/>
      <c r="H96" s="38" t="n"/>
      <c r="I96" s="38" t="n"/>
      <c r="J96" s="38" t="n"/>
      <c r="K96" s="38" t="n"/>
      <c r="L96" s="38" t="n"/>
      <c r="M96" s="38" t="n"/>
      <c r="N96" s="38" t="n"/>
      <c r="O96" s="38" t="n"/>
      <c r="P96" s="38" t="n"/>
      <c r="Q96" s="38" t="n"/>
      <c r="R96" s="38" t="n"/>
      <c r="S96" s="38" t="n"/>
    </row>
    <row r="97">
      <c r="A97" s="38" t="n"/>
      <c r="B97" s="38" t="n"/>
      <c r="C97" s="38" t="n"/>
      <c r="D97" s="38" t="n"/>
      <c r="E97" s="38" t="n"/>
      <c r="F97" s="38" t="n"/>
      <c r="G97" s="38" t="n"/>
      <c r="H97" s="38" t="n"/>
      <c r="I97" s="38" t="n"/>
      <c r="J97" s="38" t="n"/>
      <c r="K97" s="38" t="n"/>
      <c r="L97" s="38" t="n"/>
      <c r="M97" s="38" t="n"/>
      <c r="N97" s="38" t="n"/>
      <c r="O97" s="38" t="n"/>
      <c r="P97" s="38" t="n"/>
      <c r="Q97" s="38" t="n"/>
      <c r="R97" s="38" t="n"/>
      <c r="S97" s="38" t="n"/>
    </row>
    <row r="98">
      <c r="A98" s="38" t="n"/>
      <c r="B98" s="38" t="n"/>
      <c r="C98" s="38" t="n"/>
      <c r="D98" s="38" t="n"/>
      <c r="E98" s="38" t="n"/>
      <c r="F98" s="38" t="n"/>
      <c r="G98" s="38" t="n"/>
      <c r="H98" s="38" t="n"/>
      <c r="I98" s="38" t="n"/>
      <c r="J98" s="38" t="n"/>
      <c r="K98" s="38" t="n"/>
      <c r="L98" s="38" t="n"/>
      <c r="M98" s="38" t="n"/>
      <c r="N98" s="38" t="n"/>
      <c r="O98" s="38" t="n"/>
      <c r="P98" s="38" t="n"/>
      <c r="Q98" s="38" t="n"/>
      <c r="R98" s="38" t="n"/>
      <c r="S98" s="38" t="n"/>
    </row>
    <row r="99">
      <c r="A99" s="38" t="n"/>
      <c r="B99" s="38" t="n"/>
      <c r="C99" s="38" t="n"/>
      <c r="D99" s="38" t="n"/>
      <c r="E99" s="38" t="n"/>
      <c r="F99" s="38" t="n"/>
      <c r="G99" s="38" t="n"/>
      <c r="H99" s="38" t="n"/>
      <c r="I99" s="38" t="n"/>
      <c r="J99" s="38" t="n"/>
      <c r="K99" s="38" t="n"/>
      <c r="L99" s="38" t="n"/>
      <c r="M99" s="38" t="n"/>
      <c r="N99" s="38" t="n"/>
      <c r="O99" s="38" t="n"/>
      <c r="P99" s="38" t="n"/>
      <c r="Q99" s="38" t="n"/>
      <c r="R99" s="38" t="n"/>
      <c r="S99" s="38" t="n"/>
    </row>
    <row r="100">
      <c r="A100" s="38" t="n"/>
      <c r="B100" s="38" t="n"/>
      <c r="C100" s="38" t="n"/>
      <c r="D100" s="38" t="n"/>
      <c r="E100" s="38" t="n"/>
      <c r="F100" s="38" t="n"/>
      <c r="G100" s="38" t="n"/>
      <c r="H100" s="38" t="n"/>
      <c r="I100" s="38" t="n"/>
      <c r="J100" s="38" t="n"/>
      <c r="K100" s="38" t="n"/>
      <c r="L100" s="38" t="n"/>
      <c r="M100" s="38" t="n"/>
      <c r="N100" s="38" t="n"/>
      <c r="O100" s="38" t="n"/>
      <c r="P100" s="38" t="n"/>
      <c r="Q100" s="38" t="n"/>
      <c r="R100" s="38" t="n"/>
      <c r="S100" s="38" t="n"/>
    </row>
    <row r="101">
      <c r="A101" s="38" t="n"/>
      <c r="B101" s="38" t="n"/>
      <c r="C101" s="38" t="n"/>
      <c r="D101" s="38" t="n"/>
      <c r="E101" s="38" t="n"/>
      <c r="F101" s="38" t="n"/>
      <c r="G101" s="38" t="n"/>
      <c r="H101" s="38" t="n"/>
      <c r="I101" s="38" t="n"/>
      <c r="J101" s="38" t="n"/>
      <c r="K101" s="38" t="n"/>
      <c r="L101" s="38" t="n"/>
      <c r="M101" s="38" t="n"/>
      <c r="N101" s="38" t="n"/>
      <c r="O101" s="38" t="n"/>
      <c r="P101" s="38" t="n"/>
      <c r="Q101" s="38" t="n"/>
      <c r="R101" s="38" t="n"/>
      <c r="S101" s="38" t="n"/>
    </row>
    <row r="102">
      <c r="A102" s="38" t="n"/>
      <c r="B102" s="38" t="n"/>
      <c r="C102" s="38" t="n"/>
      <c r="D102" s="38" t="n"/>
      <c r="E102" s="38" t="n"/>
      <c r="F102" s="38" t="n"/>
      <c r="G102" s="38" t="n"/>
      <c r="H102" s="38" t="n"/>
      <c r="I102" s="38" t="n"/>
      <c r="J102" s="38" t="n"/>
      <c r="K102" s="38" t="n"/>
      <c r="L102" s="38" t="n"/>
      <c r="M102" s="38" t="n"/>
      <c r="N102" s="38" t="n"/>
      <c r="O102" s="38" t="n"/>
      <c r="P102" s="38" t="n"/>
      <c r="Q102" s="38" t="n"/>
      <c r="R102" s="38" t="n"/>
      <c r="S102" s="38" t="n"/>
    </row>
    <row r="103">
      <c r="A103" s="38" t="n"/>
      <c r="B103" s="38" t="n"/>
      <c r="C103" s="38" t="n"/>
      <c r="D103" s="38" t="n"/>
      <c r="E103" s="38" t="n"/>
      <c r="F103" s="38" t="n"/>
      <c r="G103" s="38" t="n"/>
      <c r="H103" s="38" t="n"/>
      <c r="I103" s="38" t="n"/>
      <c r="J103" s="38" t="n"/>
      <c r="K103" s="38" t="n"/>
      <c r="L103" s="38" t="n"/>
      <c r="M103" s="38" t="n"/>
      <c r="N103" s="38" t="n"/>
      <c r="O103" s="38" t="n"/>
      <c r="P103" s="38" t="n"/>
      <c r="Q103" s="38" t="n"/>
      <c r="R103" s="38" t="n"/>
      <c r="S103" s="38" t="n"/>
    </row>
    <row r="104">
      <c r="A104" s="38" t="n"/>
      <c r="B104" s="38" t="n"/>
      <c r="C104" s="38" t="n"/>
      <c r="D104" s="38" t="n"/>
      <c r="E104" s="38" t="n"/>
      <c r="F104" s="38" t="n"/>
      <c r="G104" s="38" t="n"/>
      <c r="H104" s="38" t="n"/>
      <c r="I104" s="38" t="n"/>
      <c r="J104" s="38" t="n"/>
      <c r="K104" s="38" t="n"/>
      <c r="L104" s="38" t="n"/>
      <c r="M104" s="38" t="n"/>
      <c r="N104" s="38" t="n"/>
      <c r="O104" s="38" t="n"/>
      <c r="P104" s="38" t="n"/>
      <c r="Q104" s="38" t="n"/>
      <c r="R104" s="38" t="n"/>
      <c r="S104" s="38" t="n"/>
    </row>
    <row r="105">
      <c r="A105" s="38" t="n"/>
      <c r="B105" s="38" t="n"/>
      <c r="C105" s="38" t="n"/>
      <c r="D105" s="38" t="n"/>
      <c r="E105" s="38" t="n"/>
      <c r="F105" s="38" t="n"/>
      <c r="G105" s="38" t="n"/>
      <c r="H105" s="38" t="n"/>
      <c r="I105" s="38" t="n"/>
      <c r="J105" s="38" t="n"/>
      <c r="K105" s="38" t="n"/>
      <c r="L105" s="38" t="n"/>
      <c r="M105" s="38" t="n"/>
      <c r="N105" s="38" t="n"/>
      <c r="O105" s="38" t="n"/>
      <c r="P105" s="38" t="n"/>
      <c r="Q105" s="38" t="n"/>
      <c r="R105" s="38" t="n"/>
      <c r="S105" s="38" t="n"/>
    </row>
    <row r="106">
      <c r="A106" s="38" t="n"/>
      <c r="B106" s="38" t="n"/>
      <c r="C106" s="38" t="n"/>
      <c r="D106" s="38" t="n"/>
      <c r="E106" s="38" t="n"/>
      <c r="F106" s="38" t="n"/>
      <c r="G106" s="38" t="n"/>
      <c r="H106" s="38" t="n"/>
      <c r="I106" s="38" t="n"/>
      <c r="J106" s="38" t="n"/>
      <c r="K106" s="38" t="n"/>
      <c r="L106" s="38" t="n"/>
      <c r="M106" s="38" t="n"/>
      <c r="N106" s="38" t="n"/>
      <c r="O106" s="38" t="n"/>
      <c r="P106" s="38" t="n"/>
      <c r="Q106" s="38" t="n"/>
      <c r="R106" s="38" t="n"/>
      <c r="S106" s="38" t="n"/>
    </row>
    <row r="107">
      <c r="A107" s="38" t="n"/>
      <c r="B107" s="38" t="n"/>
      <c r="C107" s="38" t="n"/>
      <c r="D107" s="38" t="n"/>
      <c r="E107" s="38" t="n"/>
      <c r="F107" s="38" t="n"/>
      <c r="G107" s="38" t="n"/>
      <c r="H107" s="38" t="n"/>
      <c r="I107" s="38" t="n"/>
      <c r="J107" s="38" t="n"/>
      <c r="K107" s="38" t="n"/>
      <c r="L107" s="38" t="n"/>
      <c r="M107" s="38" t="n"/>
      <c r="N107" s="38" t="n"/>
      <c r="O107" s="38" t="n"/>
      <c r="P107" s="38" t="n"/>
      <c r="Q107" s="38" t="n"/>
      <c r="R107" s="38" t="n"/>
      <c r="S107" s="38" t="n"/>
    </row>
    <row r="108">
      <c r="A108" s="38" t="n"/>
      <c r="B108" s="38" t="n"/>
      <c r="C108" s="38" t="n"/>
      <c r="D108" s="38" t="n"/>
      <c r="E108" s="38" t="n"/>
      <c r="F108" s="38" t="n"/>
      <c r="G108" s="38" t="n"/>
      <c r="H108" s="38" t="n"/>
      <c r="I108" s="38" t="n"/>
      <c r="J108" s="38" t="n"/>
      <c r="K108" s="38" t="n"/>
      <c r="L108" s="38" t="n"/>
      <c r="M108" s="38" t="n"/>
      <c r="N108" s="38" t="n"/>
      <c r="O108" s="38" t="n"/>
      <c r="P108" s="38" t="n"/>
      <c r="Q108" s="38" t="n"/>
      <c r="R108" s="38" t="n"/>
      <c r="S108" s="38" t="n"/>
    </row>
    <row r="109">
      <c r="A109" s="38" t="n"/>
      <c r="B109" s="38" t="n"/>
      <c r="C109" s="38" t="n"/>
      <c r="D109" s="38" t="n"/>
      <c r="E109" s="38" t="n"/>
      <c r="F109" s="38" t="n"/>
      <c r="G109" s="38" t="n"/>
      <c r="H109" s="38" t="n"/>
      <c r="I109" s="38" t="n"/>
      <c r="J109" s="38" t="n"/>
      <c r="K109" s="38" t="n"/>
      <c r="L109" s="38" t="n"/>
      <c r="M109" s="38" t="n"/>
      <c r="N109" s="38" t="n"/>
      <c r="O109" s="38" t="n"/>
      <c r="P109" s="38" t="n"/>
      <c r="Q109" s="38" t="n"/>
      <c r="R109" s="38" t="n"/>
      <c r="S109" s="38" t="n"/>
    </row>
    <row r="110">
      <c r="A110" s="38" t="n"/>
      <c r="B110" s="38" t="n"/>
      <c r="C110" s="38" t="n"/>
      <c r="D110" s="38" t="n"/>
      <c r="E110" s="38" t="n"/>
      <c r="F110" s="38" t="n"/>
      <c r="G110" s="38" t="n"/>
      <c r="H110" s="38" t="n"/>
      <c r="I110" s="38" t="n"/>
      <c r="J110" s="38" t="n"/>
      <c r="K110" s="38" t="n"/>
      <c r="L110" s="38" t="n"/>
      <c r="M110" s="38" t="n"/>
      <c r="N110" s="38" t="n"/>
      <c r="O110" s="38" t="n"/>
      <c r="P110" s="38" t="n"/>
      <c r="Q110" s="38" t="n"/>
      <c r="R110" s="38" t="n"/>
      <c r="S110" s="38" t="n"/>
    </row>
    <row r="111">
      <c r="A111" s="38" t="n"/>
      <c r="B111" s="38" t="n"/>
      <c r="C111" s="38" t="n"/>
      <c r="D111" s="38" t="n"/>
      <c r="E111" s="38" t="n"/>
      <c r="F111" s="38" t="n"/>
      <c r="G111" s="38" t="n"/>
      <c r="H111" s="38" t="n"/>
      <c r="I111" s="38" t="n"/>
      <c r="J111" s="38" t="n"/>
      <c r="K111" s="38" t="n"/>
      <c r="L111" s="38" t="n"/>
      <c r="M111" s="38" t="n"/>
      <c r="N111" s="38" t="n"/>
      <c r="O111" s="38" t="n"/>
      <c r="P111" s="38" t="n"/>
      <c r="Q111" s="38" t="n"/>
      <c r="R111" s="38" t="n"/>
      <c r="S111" s="38" t="n"/>
    </row>
    <row r="112">
      <c r="A112" s="38" t="n"/>
      <c r="B112" s="38" t="n"/>
      <c r="C112" s="38" t="n"/>
      <c r="D112" s="38" t="n"/>
      <c r="E112" s="38" t="n"/>
      <c r="F112" s="38" t="n"/>
      <c r="G112" s="38" t="n"/>
      <c r="H112" s="38" t="n"/>
      <c r="I112" s="38" t="n"/>
      <c r="J112" s="38" t="n"/>
      <c r="K112" s="38" t="n"/>
      <c r="L112" s="38" t="n"/>
      <c r="M112" s="38" t="n"/>
      <c r="N112" s="38" t="n"/>
      <c r="O112" s="38" t="n"/>
      <c r="P112" s="38" t="n"/>
      <c r="Q112" s="38" t="n"/>
      <c r="R112" s="38" t="n"/>
      <c r="S112" s="38" t="n"/>
    </row>
    <row r="113">
      <c r="A113" s="38" t="n"/>
      <c r="B113" s="38" t="n"/>
      <c r="C113" s="38" t="n"/>
      <c r="D113" s="38" t="n"/>
      <c r="E113" s="38" t="n"/>
      <c r="F113" s="38" t="n"/>
      <c r="G113" s="38" t="n"/>
      <c r="H113" s="38" t="n"/>
      <c r="I113" s="38" t="n"/>
      <c r="J113" s="38" t="n"/>
      <c r="K113" s="38" t="n"/>
      <c r="L113" s="38" t="n"/>
      <c r="M113" s="38" t="n"/>
      <c r="N113" s="38" t="n"/>
      <c r="O113" s="38" t="n"/>
      <c r="P113" s="38" t="n"/>
      <c r="Q113" s="38" t="n"/>
      <c r="R113" s="38" t="n"/>
      <c r="S113" s="38" t="n"/>
    </row>
    <row r="114">
      <c r="A114" s="38" t="n"/>
      <c r="B114" s="38" t="n"/>
      <c r="C114" s="38" t="n"/>
      <c r="D114" s="38" t="n"/>
      <c r="E114" s="38" t="n"/>
      <c r="F114" s="38" t="n"/>
      <c r="G114" s="38" t="n"/>
      <c r="H114" s="38" t="n"/>
      <c r="I114" s="38" t="n"/>
      <c r="J114" s="38" t="n"/>
      <c r="K114" s="38" t="n"/>
      <c r="L114" s="38" t="n"/>
      <c r="M114" s="38" t="n"/>
      <c r="N114" s="38" t="n"/>
      <c r="O114" s="38" t="n"/>
      <c r="P114" s="38" t="n"/>
      <c r="Q114" s="38" t="n"/>
      <c r="R114" s="38" t="n"/>
      <c r="S114" s="38" t="n"/>
    </row>
    <row r="115">
      <c r="A115" s="38" t="n"/>
      <c r="B115" s="38" t="n"/>
      <c r="C115" s="38" t="n"/>
      <c r="D115" s="38" t="n"/>
      <c r="E115" s="38" t="n"/>
      <c r="F115" s="38" t="n"/>
      <c r="G115" s="38" t="n"/>
      <c r="H115" s="38" t="n"/>
      <c r="I115" s="38" t="n"/>
      <c r="J115" s="38" t="n"/>
      <c r="K115" s="38" t="n"/>
      <c r="L115" s="38" t="n"/>
      <c r="M115" s="38" t="n"/>
      <c r="N115" s="38" t="n"/>
      <c r="O115" s="38" t="n"/>
      <c r="P115" s="38" t="n"/>
      <c r="Q115" s="38" t="n"/>
      <c r="R115" s="38" t="n"/>
      <c r="S115" s="38" t="n"/>
    </row>
    <row r="116">
      <c r="A116" s="38" t="n"/>
      <c r="B116" s="38" t="n"/>
      <c r="C116" s="38" t="n"/>
      <c r="D116" s="38" t="n"/>
      <c r="E116" s="38" t="n"/>
      <c r="F116" s="38" t="n"/>
      <c r="G116" s="38" t="n"/>
      <c r="H116" s="38" t="n"/>
      <c r="I116" s="38" t="n"/>
      <c r="J116" s="38" t="n"/>
      <c r="K116" s="38" t="n"/>
      <c r="L116" s="38" t="n"/>
      <c r="M116" s="38" t="n"/>
      <c r="N116" s="38" t="n"/>
      <c r="O116" s="38" t="n"/>
      <c r="P116" s="38" t="n"/>
      <c r="Q116" s="38" t="n"/>
      <c r="R116" s="38" t="n"/>
      <c r="S116" s="38" t="n"/>
    </row>
    <row r="117">
      <c r="A117" s="38" t="n"/>
      <c r="B117" s="38" t="n"/>
      <c r="C117" s="38" t="n"/>
      <c r="D117" s="38" t="n"/>
      <c r="E117" s="38" t="n"/>
      <c r="F117" s="38" t="n"/>
      <c r="G117" s="38" t="n"/>
      <c r="H117" s="38" t="n"/>
      <c r="I117" s="38" t="n"/>
      <c r="J117" s="38" t="n"/>
      <c r="K117" s="38" t="n"/>
      <c r="L117" s="38" t="n"/>
      <c r="M117" s="38" t="n"/>
      <c r="N117" s="38" t="n"/>
      <c r="O117" s="38" t="n"/>
      <c r="P117" s="38" t="n"/>
      <c r="Q117" s="38" t="n"/>
      <c r="R117" s="38" t="n"/>
      <c r="S117" s="38" t="n"/>
    </row>
    <row r="118">
      <c r="A118" s="38" t="n"/>
      <c r="B118" s="38" t="n"/>
      <c r="C118" s="38" t="n"/>
      <c r="D118" s="38" t="n"/>
      <c r="E118" s="38" t="n"/>
      <c r="F118" s="38" t="n"/>
      <c r="G118" s="38" t="n"/>
      <c r="H118" s="38" t="n"/>
      <c r="I118" s="38" t="n"/>
      <c r="J118" s="38" t="n"/>
      <c r="K118" s="38" t="n"/>
      <c r="L118" s="38" t="n"/>
      <c r="M118" s="38" t="n"/>
      <c r="N118" s="38" t="n"/>
      <c r="O118" s="38" t="n"/>
      <c r="P118" s="38" t="n"/>
      <c r="Q118" s="38" t="n"/>
      <c r="R118" s="38" t="n"/>
      <c r="S118" s="38" t="n"/>
    </row>
    <row r="119">
      <c r="A119" s="38" t="n"/>
      <c r="B119" s="38" t="n"/>
      <c r="C119" s="38" t="n"/>
      <c r="D119" s="38" t="n"/>
      <c r="E119" s="38" t="n"/>
      <c r="F119" s="38" t="n"/>
      <c r="G119" s="38" t="n"/>
      <c r="H119" s="38" t="n"/>
      <c r="I119" s="38" t="n"/>
      <c r="J119" s="38" t="n"/>
      <c r="K119" s="38" t="n"/>
      <c r="L119" s="38" t="n"/>
      <c r="M119" s="38" t="n"/>
      <c r="N119" s="38" t="n"/>
      <c r="O119" s="38" t="n"/>
      <c r="P119" s="38" t="n"/>
      <c r="Q119" s="38" t="n"/>
      <c r="R119" s="38" t="n"/>
      <c r="S119" s="38" t="n"/>
    </row>
  </sheetData>
  <mergeCells count="6">
    <mergeCell ref="A4:K4"/>
    <mergeCell ref="A48:K48"/>
    <mergeCell ref="A26:K26"/>
    <mergeCell ref="A62:K62"/>
    <mergeCell ref="A2:K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97706"/>
    <outlinePr summaryBelow="1" summaryRight="1"/>
    <pageSetUpPr/>
  </sheetPr>
  <dimension ref="A1:M1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30" customWidth="1" min="3" max="3"/>
    <col width="50" customWidth="1" min="4" max="4"/>
    <col width="30" customWidth="1" min="5" max="5"/>
    <col width="15" customWidth="1" min="6" max="6"/>
  </cols>
  <sheetData>
    <row r="1" ht="32" customHeight="1">
      <c r="A1" s="151" t="inlineStr">
        <is>
          <t>📌  ASSUMPTIONS — Baseline, Benchmark Sources &amp; Calibration Notes</t>
        </is>
      </c>
      <c r="G1" s="38" t="n"/>
      <c r="H1" s="38" t="n"/>
      <c r="I1" s="38" t="n"/>
      <c r="J1" s="38" t="n"/>
      <c r="K1" s="38" t="n"/>
      <c r="L1" s="38" t="n"/>
      <c r="M1" s="38" t="n"/>
    </row>
    <row r="2" ht="22" customHeight="1">
      <c r="A2" s="152" t="inlineStr">
        <is>
          <t>All assumptions documented here. Override productivity rates in the Estimator sheet (yellow cells) with organization-specific calibrated values.</t>
        </is>
      </c>
      <c r="G2" s="38" t="n"/>
      <c r="H2" s="38" t="n"/>
      <c r="I2" s="38" t="n"/>
      <c r="J2" s="38" t="n"/>
      <c r="K2" s="38" t="n"/>
      <c r="L2" s="38" t="n"/>
      <c r="M2" s="38" t="n"/>
    </row>
    <row r="3">
      <c r="A3" s="38" t="n"/>
      <c r="B3" s="38" t="n"/>
      <c r="C3" s="38" t="n"/>
      <c r="D3" s="38" t="n"/>
      <c r="E3" s="38" t="n"/>
      <c r="F3" s="38" t="n"/>
      <c r="G3" s="38" t="n"/>
      <c r="H3" s="38" t="n"/>
      <c r="I3" s="38" t="n"/>
      <c r="J3" s="38" t="n"/>
      <c r="K3" s="38" t="n"/>
      <c r="L3" s="38" t="n"/>
      <c r="M3" s="38" t="n"/>
    </row>
    <row r="4" ht="20" customHeight="1">
      <c r="A4" s="47" t="inlineStr">
        <is>
          <t>PRODUCTIVITY RATE ASSUMPTIONS</t>
        </is>
      </c>
      <c r="G4" s="38" t="n"/>
      <c r="H4" s="38" t="n"/>
      <c r="I4" s="38" t="n"/>
      <c r="J4" s="38" t="n"/>
      <c r="K4" s="38" t="n"/>
      <c r="L4" s="38" t="n"/>
      <c r="M4" s="38" t="n"/>
    </row>
    <row r="5" ht="16" customHeight="1">
      <c r="A5" s="38" t="n"/>
      <c r="B5" s="102" t="inlineStr">
        <is>
          <t>#</t>
        </is>
      </c>
      <c r="C5" s="102" t="inlineStr">
        <is>
          <t>Category</t>
        </is>
      </c>
      <c r="D5" s="102" t="inlineStr">
        <is>
          <t>Assumption</t>
        </is>
      </c>
      <c r="E5" s="102" t="inlineStr">
        <is>
          <t>Rationale / Source</t>
        </is>
      </c>
      <c r="F5" s="102" t="inlineStr">
        <is>
          <t>Override Guidance</t>
        </is>
      </c>
      <c r="G5" s="38" t="n"/>
      <c r="H5" s="38" t="n"/>
      <c r="I5" s="38" t="n"/>
      <c r="J5" s="38" t="n"/>
      <c r="K5" s="38" t="n"/>
      <c r="L5" s="38" t="n"/>
      <c r="M5" s="38" t="n"/>
    </row>
    <row r="6" ht="40" customHeight="1">
      <c r="A6" s="38" t="n"/>
      <c r="B6" s="153" t="inlineStr">
        <is>
          <t>1</t>
        </is>
      </c>
      <c r="C6" s="154" t="inlineStr">
        <is>
          <t>SFP Base Rate</t>
        </is>
      </c>
      <c r="D6" s="155" t="inlineStr">
        <is>
          <t>10 hrs/FP (offshore India)</t>
        </is>
      </c>
      <c r="E6" s="155" t="inlineStr">
        <is>
          <t>ISBSG R15 median for web/MIS apps at India offshore rates. Range: 7–14 hrs/FP.</t>
        </is>
      </c>
      <c r="F6" s="155" t="inlineStr">
        <is>
          <t>Replace with your avg from last 3+ similar projects</t>
        </is>
      </c>
      <c r="G6" s="38" t="n"/>
      <c r="H6" s="38" t="n"/>
      <c r="I6" s="38" t="n"/>
      <c r="J6" s="38" t="n"/>
      <c r="K6" s="38" t="n"/>
      <c r="L6" s="38" t="n"/>
      <c r="M6" s="38" t="n"/>
    </row>
    <row r="7" ht="40" customHeight="1">
      <c r="A7" s="38" t="n"/>
      <c r="B7" s="156" t="inlineStr">
        <is>
          <t>2</t>
        </is>
      </c>
      <c r="C7" s="157" t="inlineStr">
        <is>
          <t>COSMIC Base Rate</t>
        </is>
      </c>
      <c r="D7" s="158" t="inlineStr">
        <is>
          <t>18 hrs/CFP (offshore India)</t>
        </is>
      </c>
      <c r="E7" s="158" t="inlineStr">
        <is>
          <t>COSMIC Measurement Practices Committee benchmark 2023. Range: 12–25 hrs/CFP.</t>
        </is>
      </c>
      <c r="F7" s="158" t="inlineStr">
        <is>
          <t>COSMIC counts finer-grained than SFP; higher hrs/unit is expected</t>
        </is>
      </c>
      <c r="G7" s="38" t="n"/>
      <c r="H7" s="38" t="n"/>
      <c r="I7" s="38" t="n"/>
      <c r="J7" s="38" t="n"/>
      <c r="K7" s="38" t="n"/>
      <c r="L7" s="38" t="n"/>
      <c r="M7" s="38" t="n"/>
    </row>
    <row r="8" ht="40" customHeight="1">
      <c r="A8" s="38" t="n"/>
      <c r="B8" s="153" t="inlineStr">
        <is>
          <t>3</t>
        </is>
      </c>
      <c r="C8" s="154" t="inlineStr">
        <is>
          <t>IFPUG Base Rate</t>
        </is>
      </c>
      <c r="D8" s="155" t="inlineStr">
        <is>
          <t>12 hrs/UFP (offshore India)</t>
        </is>
      </c>
      <c r="E8" s="155" t="inlineStr">
        <is>
          <t>ISBSG R15 median. QSM SLIM data. Range: 8–20 hrs/UFP by domain.</t>
        </is>
      </c>
      <c r="F8" s="155" t="inlineStr">
        <is>
          <t>Government &amp; banking projects typically 14–18 hrs/UFP</t>
        </is>
      </c>
      <c r="G8" s="38" t="n"/>
      <c r="H8" s="38" t="n"/>
      <c r="I8" s="38" t="n"/>
      <c r="J8" s="38" t="n"/>
      <c r="K8" s="38" t="n"/>
      <c r="L8" s="38" t="n"/>
      <c r="M8" s="38" t="n"/>
    </row>
    <row r="9" ht="40" customHeight="1">
      <c r="A9" s="38" t="n"/>
      <c r="B9" s="156" t="inlineStr">
        <is>
          <t>4</t>
        </is>
      </c>
      <c r="C9" s="157" t="inlineStr">
        <is>
          <t>ERP Config Rate</t>
        </is>
      </c>
      <c r="D9" s="158" t="inlineStr">
        <is>
          <t>8 hrs/Config Point</t>
        </is>
      </c>
      <c r="E9" s="158" t="inlineStr">
        <is>
          <t>1 CP = 1 consultant-day = 8 hrs. Based on Gartner ERP benchmarks &amp; project experience.</t>
        </is>
      </c>
      <c r="F9" s="158" t="inlineStr">
        <is>
          <t>Complex configs (tax, CO-PC) may need 12–16 hrs. Simple configs 4–6 hrs.</t>
        </is>
      </c>
      <c r="G9" s="38" t="n"/>
      <c r="H9" s="38" t="n"/>
      <c r="I9" s="38" t="n"/>
      <c r="J9" s="38" t="n"/>
      <c r="K9" s="38" t="n"/>
      <c r="L9" s="38" t="n"/>
      <c r="M9" s="38" t="n"/>
    </row>
    <row r="10" ht="40" customHeight="1">
      <c r="A10" s="38" t="n"/>
      <c r="B10" s="153" t="inlineStr">
        <is>
          <t>5</t>
        </is>
      </c>
      <c r="C10" s="154" t="inlineStr">
        <is>
          <t>Onshore multiplier</t>
        </is>
      </c>
      <c r="D10" s="155" t="inlineStr">
        <is>
          <t>1.8×–2.5× offshore rate</t>
        </is>
      </c>
      <c r="E10" s="155" t="inlineStr">
        <is>
          <t>Gartner IT Key Metrics Data. US onshore ~2.2×; UK/Australia ~1.9×.</t>
        </is>
      </c>
      <c r="F10" s="155" t="inlineStr">
        <is>
          <t>Use 2.0× as default onshore factor if not sure</t>
        </is>
      </c>
      <c r="G10" s="38" t="n"/>
      <c r="H10" s="38" t="n"/>
      <c r="I10" s="38" t="n"/>
      <c r="J10" s="38" t="n"/>
      <c r="K10" s="38" t="n"/>
      <c r="L10" s="38" t="n"/>
      <c r="M10" s="38" t="n"/>
    </row>
    <row r="11" ht="40" customHeight="1">
      <c r="A11" s="38" t="n"/>
      <c r="B11" s="156" t="inlineStr">
        <is>
          <t>6</t>
        </is>
      </c>
      <c r="C11" s="157" t="inlineStr">
        <is>
          <t>AI/ML productivity</t>
        </is>
      </c>
      <c r="D11" s="158" t="inlineStr">
        <is>
          <t>60% lower than standard app</t>
        </is>
      </c>
      <c r="E11" s="158" t="inlineStr">
        <is>
          <t>AI systems have high research uncertainty, data quality dependency. Limited ISBSG data.</t>
        </is>
      </c>
      <c r="F11" s="158" t="inlineStr">
        <is>
          <t>Use wider ±30% confidence interval for AI/ML estimates</t>
        </is>
      </c>
      <c r="G11" s="38" t="n"/>
      <c r="H11" s="38" t="n"/>
      <c r="I11" s="38" t="n"/>
      <c r="J11" s="38" t="n"/>
      <c r="K11" s="38" t="n"/>
      <c r="L11" s="38" t="n"/>
      <c r="M11" s="38" t="n"/>
    </row>
    <row r="12">
      <c r="A12" s="38" t="n"/>
      <c r="B12" s="38" t="n"/>
      <c r="C12" s="38" t="n"/>
      <c r="D12" s="38" t="n"/>
      <c r="E12" s="38" t="n"/>
      <c r="F12" s="38" t="n"/>
      <c r="G12" s="38" t="n"/>
      <c r="H12" s="38" t="n"/>
      <c r="I12" s="38" t="n"/>
      <c r="J12" s="38" t="n"/>
      <c r="K12" s="38" t="n"/>
      <c r="L12" s="38" t="n"/>
      <c r="M12" s="38" t="n"/>
    </row>
    <row r="13" ht="20" customHeight="1">
      <c r="A13" s="43" t="inlineStr">
        <is>
          <t>EFFORT COMPOSITION ASSUMPTIONS</t>
        </is>
      </c>
      <c r="G13" s="38" t="n"/>
      <c r="H13" s="38" t="n"/>
      <c r="I13" s="38" t="n"/>
      <c r="J13" s="38" t="n"/>
      <c r="K13" s="38" t="n"/>
      <c r="L13" s="38" t="n"/>
      <c r="M13" s="38" t="n"/>
    </row>
    <row r="14" ht="16" customHeight="1">
      <c r="A14" s="38" t="n"/>
      <c r="B14" s="137" t="inlineStr">
        <is>
          <t>#</t>
        </is>
      </c>
      <c r="C14" s="137" t="inlineStr">
        <is>
          <t>Category</t>
        </is>
      </c>
      <c r="D14" s="137" t="inlineStr">
        <is>
          <t>Assumption</t>
        </is>
      </c>
      <c r="E14" s="137" t="inlineStr">
        <is>
          <t>Rationale / Source</t>
        </is>
      </c>
      <c r="F14" s="137" t="inlineStr">
        <is>
          <t>Override Guidance</t>
        </is>
      </c>
      <c r="G14" s="38" t="n"/>
      <c r="H14" s="38" t="n"/>
      <c r="I14" s="38" t="n"/>
      <c r="J14" s="38" t="n"/>
      <c r="K14" s="38" t="n"/>
      <c r="L14" s="38" t="n"/>
      <c r="M14" s="38" t="n"/>
    </row>
    <row r="15" ht="40" customHeight="1">
      <c r="A15" s="38" t="n"/>
      <c r="B15" s="159" t="inlineStr">
        <is>
          <t>7</t>
        </is>
      </c>
      <c r="C15" s="160" t="inlineStr">
        <is>
          <t>Working hours/month</t>
        </is>
      </c>
      <c r="D15" s="161" t="inlineStr">
        <is>
          <t>160 hrs/person/month</t>
        </is>
      </c>
      <c r="E15" s="161" t="inlineStr">
        <is>
          <t>Standard: 20 working days × 8 hrs. Accounts for meetings overhead.</t>
        </is>
      </c>
      <c r="F15" s="161" t="inlineStr">
        <is>
          <t>Some orgs use 150 hrs for buffer. Adjust for your context.</t>
        </is>
      </c>
      <c r="G15" s="38" t="n"/>
      <c r="H15" s="38" t="n"/>
      <c r="I15" s="38" t="n"/>
      <c r="J15" s="38" t="n"/>
      <c r="K15" s="38" t="n"/>
      <c r="L15" s="38" t="n"/>
      <c r="M15" s="38" t="n"/>
    </row>
    <row r="16" ht="40" customHeight="1">
      <c r="A16" s="38" t="n"/>
      <c r="B16" s="162" t="inlineStr">
        <is>
          <t>8</t>
        </is>
      </c>
      <c r="C16" s="157" t="inlineStr">
        <is>
          <t>Utilization rate</t>
        </is>
      </c>
      <c r="D16" s="158" t="inlineStr">
        <is>
          <t>80% of available hours billable</t>
        </is>
      </c>
      <c r="E16" s="158" t="inlineStr">
        <is>
          <t>Industry standard. 20% overhead for admin, meetings, training.</t>
        </is>
      </c>
      <c r="F16" s="158" t="inlineStr">
        <is>
          <t>Agile teams may achieve 75–85%. Fixed-price projects often higher.</t>
        </is>
      </c>
      <c r="G16" s="38" t="n"/>
      <c r="H16" s="38" t="n"/>
      <c r="I16" s="38" t="n"/>
      <c r="J16" s="38" t="n"/>
      <c r="K16" s="38" t="n"/>
      <c r="L16" s="38" t="n"/>
      <c r="M16" s="38" t="n"/>
    </row>
    <row r="17" ht="40" customHeight="1">
      <c r="A17" s="38" t="n"/>
      <c r="B17" s="159" t="inlineStr">
        <is>
          <t>9</t>
        </is>
      </c>
      <c r="C17" s="160" t="inlineStr">
        <is>
          <t>Testing effort</t>
        </is>
      </c>
      <c r="D17" s="161" t="inlineStr">
        <is>
          <t>25–30% of development effort</t>
        </is>
      </c>
      <c r="E17" s="161" t="inlineStr">
        <is>
          <t>ISBSG R15. Varies: Unit+integration testing within dev; SIT separate.</t>
        </is>
      </c>
      <c r="F17" s="161" t="inlineStr">
        <is>
          <t>Regulated industries (healthcare, banking): 35–40%. Consumer apps: 20–25%.</t>
        </is>
      </c>
      <c r="G17" s="38" t="n"/>
      <c r="H17" s="38" t="n"/>
      <c r="I17" s="38" t="n"/>
      <c r="J17" s="38" t="n"/>
      <c r="K17" s="38" t="n"/>
      <c r="L17" s="38" t="n"/>
      <c r="M17" s="38" t="n"/>
    </row>
    <row r="18" ht="40" customHeight="1">
      <c r="A18" s="38" t="n"/>
      <c r="B18" s="162" t="inlineStr">
        <is>
          <t>10</t>
        </is>
      </c>
      <c r="C18" s="157" t="inlineStr">
        <is>
          <t>Requirements &amp; Design</t>
        </is>
      </c>
      <c r="D18" s="158" t="inlineStr">
        <is>
          <t>15–20% of total project effort</t>
        </is>
      </c>
      <c r="E18" s="158" t="inlineStr">
        <is>
          <t>PMI benchmarks. Agile projects front-load less; waterfall projects more.</t>
        </is>
      </c>
      <c r="F18" s="158" t="inlineStr">
        <is>
          <t>Complex domains (healthcare, defense): 20–25% for specifications.</t>
        </is>
      </c>
      <c r="G18" s="38" t="n"/>
      <c r="H18" s="38" t="n"/>
      <c r="I18" s="38" t="n"/>
      <c r="J18" s="38" t="n"/>
      <c r="K18" s="38" t="n"/>
      <c r="L18" s="38" t="n"/>
      <c r="M18" s="38" t="n"/>
    </row>
    <row r="19" ht="40" customHeight="1">
      <c r="A19" s="38" t="n"/>
      <c r="B19" s="159" t="inlineStr">
        <is>
          <t>11</t>
        </is>
      </c>
      <c r="C19" s="160" t="inlineStr">
        <is>
          <t>PM / PMO overhead</t>
        </is>
      </c>
      <c r="D19" s="161" t="inlineStr">
        <is>
          <t>10–15% of total effort</t>
        </is>
      </c>
      <c r="E19" s="161" t="inlineStr">
        <is>
          <t>Gartner ERP benchmark. Larger projects: 15%. Small Agile: 10%.</t>
        </is>
      </c>
      <c r="F19" s="161" t="inlineStr">
        <is>
          <t>Add 5% for multi-vendor coordination.</t>
        </is>
      </c>
      <c r="G19" s="38" t="n"/>
      <c r="H19" s="38" t="n"/>
      <c r="I19" s="38" t="n"/>
      <c r="J19" s="38" t="n"/>
      <c r="K19" s="38" t="n"/>
      <c r="L19" s="38" t="n"/>
      <c r="M19" s="38" t="n"/>
    </row>
    <row r="20" ht="40" customHeight="1">
      <c r="A20" s="38" t="n"/>
      <c r="B20" s="162" t="inlineStr">
        <is>
          <t>12</t>
        </is>
      </c>
      <c r="C20" s="157" t="inlineStr">
        <is>
          <t>Training &amp; Change Mgmt</t>
        </is>
      </c>
      <c r="D20" s="158" t="inlineStr">
        <is>
          <t>8–15% of total effort</t>
        </is>
      </c>
      <c r="E20" s="158" t="inlineStr">
        <is>
          <t>Prosci change management benchmark. ERP projects higher end.</t>
        </is>
      </c>
      <c r="F20" s="158" t="inlineStr">
        <is>
          <t>For ERP implementations, budget 15%. For pure custom dev, 8%.</t>
        </is>
      </c>
      <c r="G20" s="38" t="n"/>
      <c r="H20" s="38" t="n"/>
      <c r="I20" s="38" t="n"/>
      <c r="J20" s="38" t="n"/>
      <c r="K20" s="38" t="n"/>
      <c r="L20" s="38" t="n"/>
      <c r="M20" s="38" t="n"/>
    </row>
    <row r="21" ht="40" customHeight="1">
      <c r="A21" s="38" t="n"/>
      <c r="B21" s="159" t="inlineStr">
        <is>
          <t>13</t>
        </is>
      </c>
      <c r="C21" s="160" t="inlineStr">
        <is>
          <t>Hypercare / Go-live</t>
        </is>
      </c>
      <c r="D21" s="161" t="inlineStr">
        <is>
          <t>2–4 weeks of peak team</t>
        </is>
      </c>
      <c r="E21" s="161" t="inlineStr">
        <is>
          <t>Gartner ERP data. Budget full team for 2 weeks + 50% for weeks 3–4.</t>
        </is>
      </c>
      <c r="F21" s="161" t="inlineStr">
        <is>
          <t>Omit for internal tools and small web apps.</t>
        </is>
      </c>
      <c r="G21" s="38" t="n"/>
      <c r="H21" s="38" t="n"/>
      <c r="I21" s="38" t="n"/>
      <c r="J21" s="38" t="n"/>
      <c r="K21" s="38" t="n"/>
      <c r="L21" s="38" t="n"/>
      <c r="M21" s="38" t="n"/>
    </row>
    <row r="22">
      <c r="A22" s="38" t="n"/>
      <c r="B22" s="38" t="n"/>
      <c r="C22" s="38" t="n"/>
      <c r="D22" s="38" t="n"/>
      <c r="E22" s="38" t="n"/>
      <c r="F22" s="38" t="n"/>
      <c r="G22" s="38" t="n"/>
      <c r="H22" s="38" t="n"/>
      <c r="I22" s="38" t="n"/>
      <c r="J22" s="38" t="n"/>
      <c r="K22" s="38" t="n"/>
      <c r="L22" s="38" t="n"/>
      <c r="M22" s="38" t="n"/>
    </row>
    <row r="23" ht="20" customHeight="1">
      <c r="A23" s="45" t="inlineStr">
        <is>
          <t>COUNTING METHODOLOGY ASSUMPTIONS</t>
        </is>
      </c>
      <c r="G23" s="38" t="n"/>
      <c r="H23" s="38" t="n"/>
      <c r="I23" s="38" t="n"/>
      <c r="J23" s="38" t="n"/>
      <c r="K23" s="38" t="n"/>
      <c r="L23" s="38" t="n"/>
      <c r="M23" s="38" t="n"/>
    </row>
    <row r="24" ht="16" customHeight="1">
      <c r="A24" s="38" t="n"/>
      <c r="B24" s="86" t="inlineStr">
        <is>
          <t>#</t>
        </is>
      </c>
      <c r="C24" s="86" t="inlineStr">
        <is>
          <t>Category</t>
        </is>
      </c>
      <c r="D24" s="86" t="inlineStr">
        <is>
          <t>Assumption</t>
        </is>
      </c>
      <c r="E24" s="86" t="inlineStr">
        <is>
          <t>Rationale / Source</t>
        </is>
      </c>
      <c r="F24" s="86" t="inlineStr">
        <is>
          <t>Override Guidance</t>
        </is>
      </c>
      <c r="G24" s="38" t="n"/>
      <c r="H24" s="38" t="n"/>
      <c r="I24" s="38" t="n"/>
      <c r="J24" s="38" t="n"/>
      <c r="K24" s="38" t="n"/>
      <c r="L24" s="38" t="n"/>
      <c r="M24" s="38" t="n"/>
    </row>
    <row r="25" ht="40" customHeight="1">
      <c r="A25" s="38" t="n"/>
      <c r="B25" s="163" t="inlineStr">
        <is>
          <t>14</t>
        </is>
      </c>
      <c r="C25" s="164" t="inlineStr">
        <is>
          <t>VAF for IFPUG</t>
        </is>
      </c>
      <c r="D25" s="165" t="inlineStr">
        <is>
          <t>Skip (use unadjusted UFP)</t>
        </is>
      </c>
      <c r="E25" s="165" t="inlineStr">
        <is>
          <t>Modern IFPUG practice. VAF adds &lt;10% variance in most cases and is subjective.</t>
        </is>
      </c>
      <c r="F25" s="165" t="inlineStr">
        <is>
          <t>Only apply VAF if client contract requires ISO 20926 compliance.</t>
        </is>
      </c>
      <c r="G25" s="38" t="n"/>
      <c r="H25" s="38" t="n"/>
      <c r="I25" s="38" t="n"/>
      <c r="J25" s="38" t="n"/>
      <c r="K25" s="38" t="n"/>
      <c r="L25" s="38" t="n"/>
      <c r="M25" s="38" t="n"/>
    </row>
    <row r="26" ht="40" customHeight="1">
      <c r="A26" s="38" t="n"/>
      <c r="B26" s="166" t="inlineStr">
        <is>
          <t>15</t>
        </is>
      </c>
      <c r="C26" s="157" t="inlineStr">
        <is>
          <t>SFP vs IFPUG conversion</t>
        </is>
      </c>
      <c r="D26" s="158" t="inlineStr">
        <is>
          <t>1 SFP ≈ 0.85–1.10 UFP</t>
        </is>
      </c>
      <c r="E26" s="158" t="inlineStr">
        <is>
          <t>Research by NESMA &amp; IFPUG. For typical MIS/web apps, ratio ≈ 0.95.</t>
        </is>
      </c>
      <c r="F26" s="158" t="inlineStr">
        <is>
          <t>Validate against your own project history. Ratio varies by domain.</t>
        </is>
      </c>
      <c r="G26" s="38" t="n"/>
      <c r="H26" s="38" t="n"/>
      <c r="I26" s="38" t="n"/>
      <c r="J26" s="38" t="n"/>
      <c r="K26" s="38" t="n"/>
      <c r="L26" s="38" t="n"/>
      <c r="M26" s="38" t="n"/>
    </row>
    <row r="27" ht="40" customHeight="1">
      <c r="A27" s="38" t="n"/>
      <c r="B27" s="163" t="inlineStr">
        <is>
          <t>16</t>
        </is>
      </c>
      <c r="C27" s="164" t="inlineStr">
        <is>
          <t>COSMIC vs IFPUG conversion</t>
        </is>
      </c>
      <c r="D27" s="165" t="inlineStr">
        <is>
          <t>1 IFPUG UFP ≈ 1.0–1.5 CFP</t>
        </is>
      </c>
      <c r="E27" s="165" t="inlineStr">
        <is>
          <t>COSMIC-IFPUG cross-study 2019. Real-time: 1.3–1.5×. MIS: 1.0–1.1×.</t>
        </is>
      </c>
      <c r="F27" s="165" t="inlineStr">
        <is>
          <t>Do NOT use fixed conversion for contracts. Always recount in target method.</t>
        </is>
      </c>
      <c r="G27" s="38" t="n"/>
      <c r="H27" s="38" t="n"/>
      <c r="I27" s="38" t="n"/>
      <c r="J27" s="38" t="n"/>
      <c r="K27" s="38" t="n"/>
      <c r="L27" s="38" t="n"/>
      <c r="M27" s="38" t="n"/>
    </row>
    <row r="28" ht="40" customHeight="1">
      <c r="A28" s="38" t="n"/>
      <c r="B28" s="166" t="inlineStr">
        <is>
          <t>17</t>
        </is>
      </c>
      <c r="C28" s="157" t="inlineStr">
        <is>
          <t>EIF counting threshold</t>
        </is>
      </c>
      <c r="D28" s="158" t="inlineStr">
        <is>
          <t>Count EIF only if data is READ</t>
        </is>
      </c>
      <c r="E28" s="158" t="inlineStr">
        <is>
          <t>IFPUG counting rules 4.3.1. External systems only used for write/trigger are NOT EIFs.</t>
        </is>
      </c>
      <c r="F28" s="158" t="inlineStr">
        <is>
          <t>Payment gateways: count as EIF if you read back confirmation data.</t>
        </is>
      </c>
      <c r="G28" s="38" t="n"/>
      <c r="H28" s="38" t="n"/>
      <c r="I28" s="38" t="n"/>
      <c r="J28" s="38" t="n"/>
      <c r="K28" s="38" t="n"/>
      <c r="L28" s="38" t="n"/>
      <c r="M28" s="38" t="n"/>
    </row>
    <row r="29" ht="40" customHeight="1">
      <c r="A29" s="38" t="n"/>
      <c r="B29" s="163" t="inlineStr">
        <is>
          <t>18</t>
        </is>
      </c>
      <c r="C29" s="164" t="inlineStr">
        <is>
          <t>Re-used components</t>
        </is>
      </c>
      <c r="D29" s="165" t="inlineStr">
        <is>
          <t>Count all functions including re-used ones</t>
        </is>
      </c>
      <c r="E29" s="165" t="inlineStr">
        <is>
          <t>IFPUG rule: all functions within scope boundary are counted regardless of source.</t>
        </is>
      </c>
      <c r="F29" s="165" t="inlineStr">
        <is>
          <t>Framework components that are configured (not coded) should NOT be counted.</t>
        </is>
      </c>
      <c r="G29" s="38" t="n"/>
      <c r="H29" s="38" t="n"/>
      <c r="I29" s="38" t="n"/>
      <c r="J29" s="38" t="n"/>
      <c r="K29" s="38" t="n"/>
      <c r="L29" s="38" t="n"/>
      <c r="M29" s="38" t="n"/>
    </row>
    <row r="30" ht="40" customHeight="1">
      <c r="A30" s="38" t="n"/>
      <c r="B30" s="166" t="inlineStr">
        <is>
          <t>19</t>
        </is>
      </c>
      <c r="C30" s="157" t="inlineStr">
        <is>
          <t>Agile sizing</t>
        </is>
      </c>
      <c r="D30" s="158" t="inlineStr">
        <is>
          <t>Count at feature/epic level; refine per sprint</t>
        </is>
      </c>
      <c r="E30" s="158" t="inlineStr">
        <is>
          <t>SFP is most Agile-friendly. Count once per backlog item; refine as stories are elaborated.</t>
        </is>
      </c>
      <c r="F30" s="158" t="inlineStr">
        <is>
          <t>Maintain a rolling FP register updated each sprint for scope tracking.</t>
        </is>
      </c>
      <c r="G30" s="38" t="n"/>
      <c r="H30" s="38" t="n"/>
      <c r="I30" s="38" t="n"/>
      <c r="J30" s="38" t="n"/>
      <c r="K30" s="38" t="n"/>
      <c r="L30" s="38" t="n"/>
      <c r="M30" s="38" t="n"/>
    </row>
    <row r="31">
      <c r="A31" s="38" t="n"/>
      <c r="B31" s="38" t="n"/>
      <c r="C31" s="38" t="n"/>
      <c r="D31" s="38" t="n"/>
      <c r="E31" s="38" t="n"/>
      <c r="F31" s="38" t="n"/>
      <c r="G31" s="38" t="n"/>
      <c r="H31" s="38" t="n"/>
      <c r="I31" s="38" t="n"/>
      <c r="J31" s="38" t="n"/>
      <c r="K31" s="38" t="n"/>
      <c r="L31" s="38" t="n"/>
      <c r="M31" s="38" t="n"/>
    </row>
    <row r="32" ht="20" customHeight="1">
      <c r="A32" s="49" t="inlineStr">
        <is>
          <t>FINANCIAL &amp; RATE ASSUMPTIONS</t>
        </is>
      </c>
      <c r="G32" s="38" t="n"/>
      <c r="H32" s="38" t="n"/>
      <c r="I32" s="38" t="n"/>
      <c r="J32" s="38" t="n"/>
      <c r="K32" s="38" t="n"/>
      <c r="L32" s="38" t="n"/>
      <c r="M32" s="38" t="n"/>
    </row>
    <row r="33" ht="16" customHeight="1">
      <c r="A33" s="38" t="n"/>
      <c r="B33" s="167" t="inlineStr">
        <is>
          <t>#</t>
        </is>
      </c>
      <c r="C33" s="167" t="inlineStr">
        <is>
          <t>Category</t>
        </is>
      </c>
      <c r="D33" s="167" t="inlineStr">
        <is>
          <t>Assumption</t>
        </is>
      </c>
      <c r="E33" s="167" t="inlineStr">
        <is>
          <t>Rationale / Source</t>
        </is>
      </c>
      <c r="F33" s="167" t="inlineStr">
        <is>
          <t>Override Guidance</t>
        </is>
      </c>
      <c r="G33" s="38" t="n"/>
      <c r="H33" s="38" t="n"/>
      <c r="I33" s="38" t="n"/>
      <c r="J33" s="38" t="n"/>
      <c r="K33" s="38" t="n"/>
      <c r="L33" s="38" t="n"/>
      <c r="M33" s="38" t="n"/>
    </row>
    <row r="34" ht="40" customHeight="1">
      <c r="A34" s="38" t="n"/>
      <c r="B34" s="168" t="inlineStr">
        <is>
          <t>20</t>
        </is>
      </c>
      <c r="C34" s="169" t="inlineStr">
        <is>
          <t>USD/INR rate</t>
        </is>
      </c>
      <c r="D34" s="170" t="inlineStr">
        <is>
          <t>₹84 per USD (2024 reference)</t>
        </is>
      </c>
      <c r="E34" s="170" t="inlineStr">
        <is>
          <t>RBI reference rate 2024. Fluctuates ±10% annually.</t>
        </is>
      </c>
      <c r="F34" s="170" t="inlineStr">
        <is>
          <t>Update quarterly for contracts exceeding 6 months.</t>
        </is>
      </c>
      <c r="G34" s="38" t="n"/>
      <c r="H34" s="38" t="n"/>
      <c r="I34" s="38" t="n"/>
      <c r="J34" s="38" t="n"/>
      <c r="K34" s="38" t="n"/>
      <c r="L34" s="38" t="n"/>
      <c r="M34" s="38" t="n"/>
    </row>
    <row r="35" ht="40" customHeight="1">
      <c r="A35" s="38" t="n"/>
      <c r="B35" s="171" t="inlineStr">
        <is>
          <t>21</t>
        </is>
      </c>
      <c r="C35" s="157" t="inlineStr">
        <is>
          <t>Offshore blended rate</t>
        </is>
      </c>
      <c r="D35" s="158" t="inlineStr">
        <is>
          <t>₹1,600–₹2,000 per hour</t>
        </is>
      </c>
      <c r="E35" s="158" t="inlineStr">
        <is>
          <t>India Tier-1 city (Bengaluru/Hyderabad/Pune) mid-level developer rates 2024.</t>
        </is>
      </c>
      <c r="F35" s="158" t="inlineStr">
        <is>
          <t>Junior (0–3 yrs): ₹800–1,200. Senior (7+ yrs): ₹2,500–4,000.</t>
        </is>
      </c>
      <c r="G35" s="38" t="n"/>
      <c r="H35" s="38" t="n"/>
      <c r="I35" s="38" t="n"/>
      <c r="J35" s="38" t="n"/>
      <c r="K35" s="38" t="n"/>
      <c r="L35" s="38" t="n"/>
      <c r="M35" s="38" t="n"/>
    </row>
    <row r="36" ht="40" customHeight="1">
      <c r="A36" s="38" t="n"/>
      <c r="B36" s="168" t="inlineStr">
        <is>
          <t>22</t>
        </is>
      </c>
      <c r="C36" s="169" t="inlineStr">
        <is>
          <t>SAP consultant rate</t>
        </is>
      </c>
      <c r="D36" s="170" t="inlineStr">
        <is>
          <t>₹3,000–₹6,000 per hour (offshore)</t>
        </is>
      </c>
      <c r="E36" s="170" t="inlineStr">
        <is>
          <t>NASSCOM &amp; Gartner data. SAP ABAP specialists command premium.</t>
        </is>
      </c>
      <c r="F36" s="170" t="inlineStr">
        <is>
          <t>SAP Fiori/BTP specialists: ₹4,000–8,000. Core config: ₹2,500–4,000.</t>
        </is>
      </c>
      <c r="G36" s="38" t="n"/>
      <c r="H36" s="38" t="n"/>
      <c r="I36" s="38" t="n"/>
      <c r="J36" s="38" t="n"/>
      <c r="K36" s="38" t="n"/>
      <c r="L36" s="38" t="n"/>
      <c r="M36" s="38" t="n"/>
    </row>
    <row r="37" ht="40" customHeight="1">
      <c r="A37" s="38" t="n"/>
      <c r="B37" s="171" t="inlineStr">
        <is>
          <t>23</t>
        </is>
      </c>
      <c r="C37" s="157" t="inlineStr">
        <is>
          <t>Cost contingency</t>
        </is>
      </c>
      <c r="D37" s="158" t="inlineStr">
        <is>
          <t>15–20% of total estimated cost</t>
        </is>
      </c>
      <c r="E37" s="158" t="inlineStr">
        <is>
          <t>PMI PMBOK recommendation. Gartner: 18% average ERP overrun.</t>
        </is>
      </c>
      <c r="F37" s="158" t="inlineStr">
        <is>
          <t>Higher for: greenfield ERP (25%), AI/ML (30%), legacy modernization (22%).</t>
        </is>
      </c>
      <c r="G37" s="38" t="n"/>
      <c r="H37" s="38" t="n"/>
      <c r="I37" s="38" t="n"/>
      <c r="J37" s="38" t="n"/>
      <c r="K37" s="38" t="n"/>
      <c r="L37" s="38" t="n"/>
      <c r="M37" s="38" t="n"/>
    </row>
    <row r="38" ht="40" customHeight="1">
      <c r="A38" s="38" t="n"/>
      <c r="B38" s="168" t="inlineStr">
        <is>
          <t>24</t>
        </is>
      </c>
      <c r="C38" s="169" t="inlineStr">
        <is>
          <t>License cost</t>
        </is>
      </c>
      <c r="D38" s="170" t="inlineStr">
        <is>
          <t>NOT included in FP-based estimates</t>
        </is>
      </c>
      <c r="E38" s="170" t="inlineStr">
        <is>
          <t>FP estimation covers custom development effort only. License costs are separate.</t>
        </is>
      </c>
      <c r="F38" s="170" t="inlineStr">
        <is>
          <t>Budget SAP licenses separately. See Benchmarks sheet Table 4 for reference ranges.</t>
        </is>
      </c>
      <c r="G38" s="38" t="n"/>
      <c r="H38" s="38" t="n"/>
      <c r="I38" s="38" t="n"/>
      <c r="J38" s="38" t="n"/>
      <c r="K38" s="38" t="n"/>
      <c r="L38" s="38" t="n"/>
      <c r="M38" s="38" t="n"/>
    </row>
    <row r="39">
      <c r="A39" s="38" t="n"/>
      <c r="B39" s="38" t="n"/>
      <c r="C39" s="38" t="n"/>
      <c r="D39" s="38" t="n"/>
      <c r="E39" s="38" t="n"/>
      <c r="F39" s="38" t="n"/>
      <c r="G39" s="38" t="n"/>
      <c r="H39" s="38" t="n"/>
      <c r="I39" s="38" t="n"/>
      <c r="J39" s="38" t="n"/>
      <c r="K39" s="38" t="n"/>
      <c r="L39" s="38" t="n"/>
      <c r="M39" s="38" t="n"/>
    </row>
    <row r="40">
      <c r="A40" s="38" t="n"/>
      <c r="B40" s="38" t="n"/>
      <c r="C40" s="38" t="n"/>
      <c r="D40" s="38" t="n"/>
      <c r="E40" s="38" t="n"/>
      <c r="F40" s="38" t="n"/>
      <c r="G40" s="38" t="n"/>
      <c r="H40" s="38" t="n"/>
      <c r="I40" s="38" t="n"/>
      <c r="J40" s="38" t="n"/>
      <c r="K40" s="38" t="n"/>
      <c r="L40" s="38" t="n"/>
      <c r="M40" s="38" t="n"/>
    </row>
    <row r="41">
      <c r="A41" s="38" t="n"/>
      <c r="B41" s="38" t="n"/>
      <c r="C41" s="38" t="n"/>
      <c r="D41" s="38" t="n"/>
      <c r="E41" s="38" t="n"/>
      <c r="F41" s="38" t="n"/>
      <c r="G41" s="38" t="n"/>
      <c r="H41" s="38" t="n"/>
      <c r="I41" s="38" t="n"/>
      <c r="J41" s="38" t="n"/>
      <c r="K41" s="38" t="n"/>
      <c r="L41" s="38" t="n"/>
      <c r="M41" s="38" t="n"/>
    </row>
    <row r="42">
      <c r="A42" s="38" t="n"/>
      <c r="B42" s="38" t="n"/>
      <c r="C42" s="38" t="n"/>
      <c r="D42" s="38" t="n"/>
      <c r="E42" s="38" t="n"/>
      <c r="F42" s="38" t="n"/>
      <c r="G42" s="38" t="n"/>
      <c r="H42" s="38" t="n"/>
      <c r="I42" s="38" t="n"/>
      <c r="J42" s="38" t="n"/>
      <c r="K42" s="38" t="n"/>
      <c r="L42" s="38" t="n"/>
      <c r="M42" s="38" t="n"/>
    </row>
    <row r="43">
      <c r="A43" s="38" t="n"/>
      <c r="B43" s="38" t="n"/>
      <c r="C43" s="38" t="n"/>
      <c r="D43" s="38" t="n"/>
      <c r="E43" s="38" t="n"/>
      <c r="F43" s="38" t="n"/>
      <c r="G43" s="38" t="n"/>
      <c r="H43" s="38" t="n"/>
      <c r="I43" s="38" t="n"/>
      <c r="J43" s="38" t="n"/>
      <c r="K43" s="38" t="n"/>
      <c r="L43" s="38" t="n"/>
      <c r="M43" s="38" t="n"/>
    </row>
    <row r="44">
      <c r="A44" s="38" t="n"/>
      <c r="B44" s="38" t="n"/>
      <c r="C44" s="38" t="n"/>
      <c r="D44" s="38" t="n"/>
      <c r="E44" s="38" t="n"/>
      <c r="F44" s="38" t="n"/>
      <c r="G44" s="38" t="n"/>
      <c r="H44" s="38" t="n"/>
      <c r="I44" s="38" t="n"/>
      <c r="J44" s="38" t="n"/>
      <c r="K44" s="38" t="n"/>
      <c r="L44" s="38" t="n"/>
      <c r="M44" s="38" t="n"/>
    </row>
    <row r="45">
      <c r="A45" s="38" t="n"/>
      <c r="B45" s="38" t="n"/>
      <c r="C45" s="38" t="n"/>
      <c r="D45" s="38" t="n"/>
      <c r="E45" s="38" t="n"/>
      <c r="F45" s="38" t="n"/>
      <c r="G45" s="38" t="n"/>
      <c r="H45" s="38" t="n"/>
      <c r="I45" s="38" t="n"/>
      <c r="J45" s="38" t="n"/>
      <c r="K45" s="38" t="n"/>
      <c r="L45" s="38" t="n"/>
      <c r="M45" s="38" t="n"/>
    </row>
    <row r="46">
      <c r="A46" s="38" t="n"/>
      <c r="B46" s="38" t="n"/>
      <c r="C46" s="38" t="n"/>
      <c r="D46" s="38" t="n"/>
      <c r="E46" s="38" t="n"/>
      <c r="F46" s="38" t="n"/>
      <c r="G46" s="38" t="n"/>
      <c r="H46" s="38" t="n"/>
      <c r="I46" s="38" t="n"/>
      <c r="J46" s="38" t="n"/>
      <c r="K46" s="38" t="n"/>
      <c r="L46" s="38" t="n"/>
      <c r="M46" s="38" t="n"/>
    </row>
    <row r="47">
      <c r="A47" s="38" t="n"/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8" t="n"/>
      <c r="M47" s="38" t="n"/>
    </row>
    <row r="48">
      <c r="A48" s="38" t="n"/>
      <c r="B48" s="38" t="n"/>
      <c r="C48" s="38" t="n"/>
      <c r="D48" s="38" t="n"/>
      <c r="E48" s="38" t="n"/>
      <c r="F48" s="38" t="n"/>
      <c r="G48" s="38" t="n"/>
      <c r="H48" s="38" t="n"/>
      <c r="I48" s="38" t="n"/>
      <c r="J48" s="38" t="n"/>
      <c r="K48" s="38" t="n"/>
      <c r="L48" s="38" t="n"/>
      <c r="M48" s="38" t="n"/>
    </row>
    <row r="49">
      <c r="A49" s="38" t="n"/>
      <c r="B49" s="38" t="n"/>
      <c r="C49" s="38" t="n"/>
      <c r="D49" s="38" t="n"/>
      <c r="E49" s="38" t="n"/>
      <c r="F49" s="38" t="n"/>
      <c r="G49" s="38" t="n"/>
      <c r="H49" s="38" t="n"/>
      <c r="I49" s="38" t="n"/>
      <c r="J49" s="38" t="n"/>
      <c r="K49" s="38" t="n"/>
      <c r="L49" s="38" t="n"/>
      <c r="M49" s="38" t="n"/>
    </row>
    <row r="50">
      <c r="A50" s="38" t="n"/>
      <c r="B50" s="38" t="n"/>
      <c r="C50" s="38" t="n"/>
      <c r="D50" s="38" t="n"/>
      <c r="E50" s="38" t="n"/>
      <c r="F50" s="38" t="n"/>
      <c r="G50" s="38" t="n"/>
      <c r="H50" s="38" t="n"/>
      <c r="I50" s="38" t="n"/>
      <c r="J50" s="38" t="n"/>
      <c r="K50" s="38" t="n"/>
      <c r="L50" s="38" t="n"/>
      <c r="M50" s="38" t="n"/>
    </row>
    <row r="51">
      <c r="A51" s="38" t="n"/>
      <c r="B51" s="38" t="n"/>
      <c r="C51" s="38" t="n"/>
      <c r="D51" s="38" t="n"/>
      <c r="E51" s="38" t="n"/>
      <c r="F51" s="38" t="n"/>
      <c r="G51" s="38" t="n"/>
      <c r="H51" s="38" t="n"/>
      <c r="I51" s="38" t="n"/>
      <c r="J51" s="38" t="n"/>
      <c r="K51" s="38" t="n"/>
      <c r="L51" s="38" t="n"/>
      <c r="M51" s="38" t="n"/>
    </row>
    <row r="52">
      <c r="A52" s="38" t="n"/>
      <c r="B52" s="38" t="n"/>
      <c r="C52" s="38" t="n"/>
      <c r="D52" s="38" t="n"/>
      <c r="E52" s="38" t="n"/>
      <c r="F52" s="38" t="n"/>
      <c r="G52" s="38" t="n"/>
      <c r="H52" s="38" t="n"/>
      <c r="I52" s="38" t="n"/>
      <c r="J52" s="38" t="n"/>
      <c r="K52" s="38" t="n"/>
      <c r="L52" s="38" t="n"/>
      <c r="M52" s="38" t="n"/>
    </row>
    <row r="53">
      <c r="A53" s="38" t="n"/>
      <c r="B53" s="38" t="n"/>
      <c r="C53" s="38" t="n"/>
      <c r="D53" s="38" t="n"/>
      <c r="E53" s="38" t="n"/>
      <c r="F53" s="38" t="n"/>
      <c r="G53" s="38" t="n"/>
      <c r="H53" s="38" t="n"/>
      <c r="I53" s="38" t="n"/>
      <c r="J53" s="38" t="n"/>
      <c r="K53" s="38" t="n"/>
      <c r="L53" s="38" t="n"/>
      <c r="M53" s="38" t="n"/>
    </row>
    <row r="54">
      <c r="A54" s="38" t="n"/>
      <c r="B54" s="38" t="n"/>
      <c r="C54" s="38" t="n"/>
      <c r="D54" s="38" t="n"/>
      <c r="E54" s="38" t="n"/>
      <c r="F54" s="38" t="n"/>
      <c r="G54" s="38" t="n"/>
      <c r="H54" s="38" t="n"/>
      <c r="I54" s="38" t="n"/>
      <c r="J54" s="38" t="n"/>
      <c r="K54" s="38" t="n"/>
      <c r="L54" s="38" t="n"/>
      <c r="M54" s="38" t="n"/>
    </row>
    <row r="55">
      <c r="A55" s="38" t="n"/>
      <c r="B55" s="38" t="n"/>
      <c r="C55" s="38" t="n"/>
      <c r="D55" s="38" t="n"/>
      <c r="E55" s="38" t="n"/>
      <c r="F55" s="38" t="n"/>
      <c r="G55" s="38" t="n"/>
      <c r="H55" s="38" t="n"/>
      <c r="I55" s="38" t="n"/>
      <c r="J55" s="38" t="n"/>
      <c r="K55" s="38" t="n"/>
      <c r="L55" s="38" t="n"/>
      <c r="M55" s="38" t="n"/>
    </row>
    <row r="56">
      <c r="A56" s="38" t="n"/>
      <c r="B56" s="38" t="n"/>
      <c r="C56" s="38" t="n"/>
      <c r="D56" s="38" t="n"/>
      <c r="E56" s="38" t="n"/>
      <c r="F56" s="38" t="n"/>
      <c r="G56" s="38" t="n"/>
      <c r="H56" s="38" t="n"/>
      <c r="I56" s="38" t="n"/>
      <c r="J56" s="38" t="n"/>
      <c r="K56" s="38" t="n"/>
      <c r="L56" s="38" t="n"/>
      <c r="M56" s="38" t="n"/>
    </row>
    <row r="57">
      <c r="A57" s="38" t="n"/>
      <c r="B57" s="38" t="n"/>
      <c r="C57" s="38" t="n"/>
      <c r="D57" s="38" t="n"/>
      <c r="E57" s="38" t="n"/>
      <c r="F57" s="38" t="n"/>
      <c r="G57" s="38" t="n"/>
      <c r="H57" s="38" t="n"/>
      <c r="I57" s="38" t="n"/>
      <c r="J57" s="38" t="n"/>
      <c r="K57" s="38" t="n"/>
      <c r="L57" s="38" t="n"/>
      <c r="M57" s="38" t="n"/>
    </row>
    <row r="58">
      <c r="A58" s="38" t="n"/>
      <c r="B58" s="38" t="n"/>
      <c r="C58" s="38" t="n"/>
      <c r="D58" s="38" t="n"/>
      <c r="E58" s="38" t="n"/>
      <c r="F58" s="38" t="n"/>
      <c r="G58" s="38" t="n"/>
      <c r="H58" s="38" t="n"/>
      <c r="I58" s="38" t="n"/>
      <c r="J58" s="38" t="n"/>
      <c r="K58" s="38" t="n"/>
      <c r="L58" s="38" t="n"/>
      <c r="M58" s="38" t="n"/>
    </row>
    <row r="59">
      <c r="A59" s="38" t="n"/>
      <c r="B59" s="38" t="n"/>
      <c r="C59" s="38" t="n"/>
      <c r="D59" s="38" t="n"/>
      <c r="E59" s="38" t="n"/>
      <c r="F59" s="38" t="n"/>
      <c r="G59" s="38" t="n"/>
      <c r="H59" s="38" t="n"/>
      <c r="I59" s="38" t="n"/>
      <c r="J59" s="38" t="n"/>
      <c r="K59" s="38" t="n"/>
      <c r="L59" s="38" t="n"/>
      <c r="M59" s="38" t="n"/>
    </row>
    <row r="60">
      <c r="A60" s="38" t="n"/>
      <c r="B60" s="38" t="n"/>
      <c r="C60" s="38" t="n"/>
      <c r="D60" s="38" t="n"/>
      <c r="E60" s="38" t="n"/>
      <c r="F60" s="38" t="n"/>
      <c r="G60" s="38" t="n"/>
      <c r="H60" s="38" t="n"/>
      <c r="I60" s="38" t="n"/>
      <c r="J60" s="38" t="n"/>
      <c r="K60" s="38" t="n"/>
      <c r="L60" s="38" t="n"/>
      <c r="M60" s="38" t="n"/>
    </row>
    <row r="61">
      <c r="A61" s="38" t="n"/>
      <c r="B61" s="38" t="n"/>
      <c r="C61" s="38" t="n"/>
      <c r="D61" s="38" t="n"/>
      <c r="E61" s="38" t="n"/>
      <c r="F61" s="38" t="n"/>
      <c r="G61" s="38" t="n"/>
      <c r="H61" s="38" t="n"/>
      <c r="I61" s="38" t="n"/>
      <c r="J61" s="38" t="n"/>
      <c r="K61" s="38" t="n"/>
      <c r="L61" s="38" t="n"/>
      <c r="M61" s="38" t="n"/>
    </row>
    <row r="62">
      <c r="A62" s="38" t="n"/>
      <c r="B62" s="38" t="n"/>
      <c r="C62" s="38" t="n"/>
      <c r="D62" s="38" t="n"/>
      <c r="E62" s="38" t="n"/>
      <c r="F62" s="38" t="n"/>
      <c r="G62" s="38" t="n"/>
      <c r="H62" s="38" t="n"/>
      <c r="I62" s="38" t="n"/>
      <c r="J62" s="38" t="n"/>
      <c r="K62" s="38" t="n"/>
      <c r="L62" s="38" t="n"/>
      <c r="M62" s="38" t="n"/>
    </row>
    <row r="63">
      <c r="A63" s="38" t="n"/>
      <c r="B63" s="38" t="n"/>
      <c r="C63" s="38" t="n"/>
      <c r="D63" s="38" t="n"/>
      <c r="E63" s="38" t="n"/>
      <c r="F63" s="38" t="n"/>
      <c r="G63" s="38" t="n"/>
      <c r="H63" s="38" t="n"/>
      <c r="I63" s="38" t="n"/>
      <c r="J63" s="38" t="n"/>
      <c r="K63" s="38" t="n"/>
      <c r="L63" s="38" t="n"/>
      <c r="M63" s="38" t="n"/>
    </row>
    <row r="64">
      <c r="A64" s="38" t="n"/>
      <c r="B64" s="38" t="n"/>
      <c r="C64" s="38" t="n"/>
      <c r="D64" s="38" t="n"/>
      <c r="E64" s="38" t="n"/>
      <c r="F64" s="38" t="n"/>
      <c r="G64" s="38" t="n"/>
      <c r="H64" s="38" t="n"/>
      <c r="I64" s="38" t="n"/>
      <c r="J64" s="38" t="n"/>
      <c r="K64" s="38" t="n"/>
      <c r="L64" s="38" t="n"/>
      <c r="M64" s="38" t="n"/>
    </row>
    <row r="65">
      <c r="A65" s="38" t="n"/>
      <c r="B65" s="38" t="n"/>
      <c r="C65" s="38" t="n"/>
      <c r="D65" s="38" t="n"/>
      <c r="E65" s="38" t="n"/>
      <c r="F65" s="38" t="n"/>
      <c r="G65" s="38" t="n"/>
      <c r="H65" s="38" t="n"/>
      <c r="I65" s="38" t="n"/>
      <c r="J65" s="38" t="n"/>
      <c r="K65" s="38" t="n"/>
      <c r="L65" s="38" t="n"/>
      <c r="M65" s="38" t="n"/>
    </row>
    <row r="66">
      <c r="A66" s="38" t="n"/>
      <c r="B66" s="38" t="n"/>
      <c r="C66" s="38" t="n"/>
      <c r="D66" s="38" t="n"/>
      <c r="E66" s="38" t="n"/>
      <c r="F66" s="38" t="n"/>
      <c r="G66" s="38" t="n"/>
      <c r="H66" s="38" t="n"/>
      <c r="I66" s="38" t="n"/>
      <c r="J66" s="38" t="n"/>
      <c r="K66" s="38" t="n"/>
      <c r="L66" s="38" t="n"/>
      <c r="M66" s="38" t="n"/>
    </row>
    <row r="67">
      <c r="A67" s="38" t="n"/>
      <c r="B67" s="38" t="n"/>
      <c r="C67" s="38" t="n"/>
      <c r="D67" s="38" t="n"/>
      <c r="E67" s="38" t="n"/>
      <c r="F67" s="38" t="n"/>
      <c r="G67" s="38" t="n"/>
      <c r="H67" s="38" t="n"/>
      <c r="I67" s="38" t="n"/>
      <c r="J67" s="38" t="n"/>
      <c r="K67" s="38" t="n"/>
      <c r="L67" s="38" t="n"/>
      <c r="M67" s="38" t="n"/>
    </row>
    <row r="68">
      <c r="A68" s="38" t="n"/>
      <c r="B68" s="38" t="n"/>
      <c r="C68" s="38" t="n"/>
      <c r="D68" s="38" t="n"/>
      <c r="E68" s="38" t="n"/>
      <c r="F68" s="38" t="n"/>
      <c r="G68" s="38" t="n"/>
      <c r="H68" s="38" t="n"/>
      <c r="I68" s="38" t="n"/>
      <c r="J68" s="38" t="n"/>
      <c r="K68" s="38" t="n"/>
      <c r="L68" s="38" t="n"/>
      <c r="M68" s="38" t="n"/>
    </row>
    <row r="69">
      <c r="A69" s="38" t="n"/>
      <c r="B69" s="38" t="n"/>
      <c r="C69" s="38" t="n"/>
      <c r="D69" s="38" t="n"/>
      <c r="E69" s="38" t="n"/>
      <c r="F69" s="38" t="n"/>
      <c r="G69" s="38" t="n"/>
      <c r="H69" s="38" t="n"/>
      <c r="I69" s="38" t="n"/>
      <c r="J69" s="38" t="n"/>
      <c r="K69" s="38" t="n"/>
      <c r="L69" s="38" t="n"/>
      <c r="M69" s="38" t="n"/>
    </row>
    <row r="70">
      <c r="A70" s="38" t="n"/>
      <c r="B70" s="38" t="n"/>
      <c r="C70" s="38" t="n"/>
      <c r="D70" s="38" t="n"/>
      <c r="E70" s="38" t="n"/>
      <c r="F70" s="38" t="n"/>
      <c r="G70" s="38" t="n"/>
      <c r="H70" s="38" t="n"/>
      <c r="I70" s="38" t="n"/>
      <c r="J70" s="38" t="n"/>
      <c r="K70" s="38" t="n"/>
      <c r="L70" s="38" t="n"/>
      <c r="M70" s="38" t="n"/>
    </row>
    <row r="71">
      <c r="A71" s="38" t="n"/>
      <c r="B71" s="38" t="n"/>
      <c r="C71" s="38" t="n"/>
      <c r="D71" s="38" t="n"/>
      <c r="E71" s="38" t="n"/>
      <c r="F71" s="38" t="n"/>
      <c r="G71" s="38" t="n"/>
      <c r="H71" s="38" t="n"/>
      <c r="I71" s="38" t="n"/>
      <c r="J71" s="38" t="n"/>
      <c r="K71" s="38" t="n"/>
      <c r="L71" s="38" t="n"/>
      <c r="M71" s="38" t="n"/>
    </row>
    <row r="72">
      <c r="A72" s="38" t="n"/>
      <c r="B72" s="38" t="n"/>
      <c r="C72" s="38" t="n"/>
      <c r="D72" s="38" t="n"/>
      <c r="E72" s="38" t="n"/>
      <c r="F72" s="38" t="n"/>
      <c r="G72" s="38" t="n"/>
      <c r="H72" s="38" t="n"/>
      <c r="I72" s="38" t="n"/>
      <c r="J72" s="38" t="n"/>
      <c r="K72" s="38" t="n"/>
      <c r="L72" s="38" t="n"/>
      <c r="M72" s="38" t="n"/>
    </row>
    <row r="73">
      <c r="A73" s="38" t="n"/>
      <c r="B73" s="38" t="n"/>
      <c r="C73" s="38" t="n"/>
      <c r="D73" s="38" t="n"/>
      <c r="E73" s="38" t="n"/>
      <c r="F73" s="38" t="n"/>
      <c r="G73" s="38" t="n"/>
      <c r="H73" s="38" t="n"/>
      <c r="I73" s="38" t="n"/>
      <c r="J73" s="38" t="n"/>
      <c r="K73" s="38" t="n"/>
      <c r="L73" s="38" t="n"/>
      <c r="M73" s="38" t="n"/>
    </row>
    <row r="74">
      <c r="A74" s="38" t="n"/>
      <c r="B74" s="38" t="n"/>
      <c r="C74" s="38" t="n"/>
      <c r="D74" s="38" t="n"/>
      <c r="E74" s="38" t="n"/>
      <c r="F74" s="38" t="n"/>
      <c r="G74" s="38" t="n"/>
      <c r="H74" s="38" t="n"/>
      <c r="I74" s="38" t="n"/>
      <c r="J74" s="38" t="n"/>
      <c r="K74" s="38" t="n"/>
      <c r="L74" s="38" t="n"/>
      <c r="M74" s="38" t="n"/>
    </row>
    <row r="75">
      <c r="A75" s="38" t="n"/>
      <c r="B75" s="38" t="n"/>
      <c r="C75" s="38" t="n"/>
      <c r="D75" s="38" t="n"/>
      <c r="E75" s="38" t="n"/>
      <c r="F75" s="38" t="n"/>
      <c r="G75" s="38" t="n"/>
      <c r="H75" s="38" t="n"/>
      <c r="I75" s="38" t="n"/>
      <c r="J75" s="38" t="n"/>
      <c r="K75" s="38" t="n"/>
      <c r="L75" s="38" t="n"/>
      <c r="M75" s="38" t="n"/>
    </row>
    <row r="76">
      <c r="A76" s="38" t="n"/>
      <c r="B76" s="38" t="n"/>
      <c r="C76" s="38" t="n"/>
      <c r="D76" s="38" t="n"/>
      <c r="E76" s="38" t="n"/>
      <c r="F76" s="38" t="n"/>
      <c r="G76" s="38" t="n"/>
      <c r="H76" s="38" t="n"/>
      <c r="I76" s="38" t="n"/>
      <c r="J76" s="38" t="n"/>
      <c r="K76" s="38" t="n"/>
      <c r="L76" s="38" t="n"/>
      <c r="M76" s="38" t="n"/>
    </row>
    <row r="77">
      <c r="A77" s="38" t="n"/>
      <c r="B77" s="38" t="n"/>
      <c r="C77" s="38" t="n"/>
      <c r="D77" s="38" t="n"/>
      <c r="E77" s="38" t="n"/>
      <c r="F77" s="38" t="n"/>
      <c r="G77" s="38" t="n"/>
      <c r="H77" s="38" t="n"/>
      <c r="I77" s="38" t="n"/>
      <c r="J77" s="38" t="n"/>
      <c r="K77" s="38" t="n"/>
      <c r="L77" s="38" t="n"/>
      <c r="M77" s="38" t="n"/>
    </row>
    <row r="78">
      <c r="A78" s="38" t="n"/>
      <c r="B78" s="38" t="n"/>
      <c r="C78" s="38" t="n"/>
      <c r="D78" s="38" t="n"/>
      <c r="E78" s="38" t="n"/>
      <c r="F78" s="38" t="n"/>
      <c r="G78" s="38" t="n"/>
      <c r="H78" s="38" t="n"/>
      <c r="I78" s="38" t="n"/>
      <c r="J78" s="38" t="n"/>
      <c r="K78" s="38" t="n"/>
      <c r="L78" s="38" t="n"/>
      <c r="M78" s="38" t="n"/>
    </row>
    <row r="79">
      <c r="A79" s="38" t="n"/>
      <c r="B79" s="38" t="n"/>
      <c r="C79" s="38" t="n"/>
      <c r="D79" s="38" t="n"/>
      <c r="E79" s="38" t="n"/>
      <c r="F79" s="38" t="n"/>
      <c r="G79" s="38" t="n"/>
      <c r="H79" s="38" t="n"/>
      <c r="I79" s="38" t="n"/>
      <c r="J79" s="38" t="n"/>
      <c r="K79" s="38" t="n"/>
      <c r="L79" s="38" t="n"/>
      <c r="M79" s="38" t="n"/>
    </row>
    <row r="80">
      <c r="A80" s="38" t="n"/>
      <c r="B80" s="38" t="n"/>
      <c r="C80" s="38" t="n"/>
      <c r="D80" s="38" t="n"/>
      <c r="E80" s="38" t="n"/>
      <c r="F80" s="38" t="n"/>
      <c r="G80" s="38" t="n"/>
      <c r="H80" s="38" t="n"/>
      <c r="I80" s="38" t="n"/>
      <c r="J80" s="38" t="n"/>
      <c r="K80" s="38" t="n"/>
      <c r="L80" s="38" t="n"/>
      <c r="M80" s="38" t="n"/>
    </row>
    <row r="81">
      <c r="A81" s="38" t="n"/>
      <c r="B81" s="38" t="n"/>
      <c r="C81" s="38" t="n"/>
      <c r="D81" s="38" t="n"/>
      <c r="E81" s="38" t="n"/>
      <c r="F81" s="38" t="n"/>
      <c r="G81" s="38" t="n"/>
      <c r="H81" s="38" t="n"/>
      <c r="I81" s="38" t="n"/>
      <c r="J81" s="38" t="n"/>
      <c r="K81" s="38" t="n"/>
      <c r="L81" s="38" t="n"/>
      <c r="M81" s="38" t="n"/>
    </row>
    <row r="82">
      <c r="A82" s="38" t="n"/>
      <c r="B82" s="38" t="n"/>
      <c r="C82" s="38" t="n"/>
      <c r="D82" s="38" t="n"/>
      <c r="E82" s="38" t="n"/>
      <c r="F82" s="38" t="n"/>
      <c r="G82" s="38" t="n"/>
      <c r="H82" s="38" t="n"/>
      <c r="I82" s="38" t="n"/>
      <c r="J82" s="38" t="n"/>
      <c r="K82" s="38" t="n"/>
      <c r="L82" s="38" t="n"/>
      <c r="M82" s="38" t="n"/>
    </row>
    <row r="83">
      <c r="A83" s="38" t="n"/>
      <c r="B83" s="38" t="n"/>
      <c r="C83" s="38" t="n"/>
      <c r="D83" s="38" t="n"/>
      <c r="E83" s="38" t="n"/>
      <c r="F83" s="38" t="n"/>
      <c r="G83" s="38" t="n"/>
      <c r="H83" s="38" t="n"/>
      <c r="I83" s="38" t="n"/>
      <c r="J83" s="38" t="n"/>
      <c r="K83" s="38" t="n"/>
      <c r="L83" s="38" t="n"/>
      <c r="M83" s="38" t="n"/>
    </row>
    <row r="84">
      <c r="A84" s="38" t="n"/>
      <c r="B84" s="38" t="n"/>
      <c r="C84" s="38" t="n"/>
      <c r="D84" s="38" t="n"/>
      <c r="E84" s="38" t="n"/>
      <c r="F84" s="38" t="n"/>
      <c r="G84" s="38" t="n"/>
      <c r="H84" s="38" t="n"/>
      <c r="I84" s="38" t="n"/>
      <c r="J84" s="38" t="n"/>
      <c r="K84" s="38" t="n"/>
      <c r="L84" s="38" t="n"/>
      <c r="M84" s="38" t="n"/>
    </row>
    <row r="85">
      <c r="A85" s="38" t="n"/>
      <c r="B85" s="38" t="n"/>
      <c r="C85" s="38" t="n"/>
      <c r="D85" s="38" t="n"/>
      <c r="E85" s="38" t="n"/>
      <c r="F85" s="38" t="n"/>
      <c r="G85" s="38" t="n"/>
      <c r="H85" s="38" t="n"/>
      <c r="I85" s="38" t="n"/>
      <c r="J85" s="38" t="n"/>
      <c r="K85" s="38" t="n"/>
      <c r="L85" s="38" t="n"/>
      <c r="M85" s="38" t="n"/>
    </row>
    <row r="86">
      <c r="A86" s="38" t="n"/>
      <c r="B86" s="38" t="n"/>
      <c r="C86" s="38" t="n"/>
      <c r="D86" s="38" t="n"/>
      <c r="E86" s="38" t="n"/>
      <c r="F86" s="38" t="n"/>
      <c r="G86" s="38" t="n"/>
      <c r="H86" s="38" t="n"/>
      <c r="I86" s="38" t="n"/>
      <c r="J86" s="38" t="n"/>
      <c r="K86" s="38" t="n"/>
      <c r="L86" s="38" t="n"/>
      <c r="M86" s="38" t="n"/>
    </row>
    <row r="87">
      <c r="A87" s="38" t="n"/>
      <c r="B87" s="38" t="n"/>
      <c r="C87" s="38" t="n"/>
      <c r="D87" s="38" t="n"/>
      <c r="E87" s="38" t="n"/>
      <c r="F87" s="38" t="n"/>
      <c r="G87" s="38" t="n"/>
      <c r="H87" s="38" t="n"/>
      <c r="I87" s="38" t="n"/>
      <c r="J87" s="38" t="n"/>
      <c r="K87" s="38" t="n"/>
      <c r="L87" s="38" t="n"/>
      <c r="M87" s="38" t="n"/>
    </row>
    <row r="88">
      <c r="A88" s="38" t="n"/>
      <c r="B88" s="38" t="n"/>
      <c r="C88" s="38" t="n"/>
      <c r="D88" s="38" t="n"/>
      <c r="E88" s="38" t="n"/>
      <c r="F88" s="38" t="n"/>
      <c r="G88" s="38" t="n"/>
      <c r="H88" s="38" t="n"/>
      <c r="I88" s="38" t="n"/>
      <c r="J88" s="38" t="n"/>
      <c r="K88" s="38" t="n"/>
      <c r="L88" s="38" t="n"/>
      <c r="M88" s="38" t="n"/>
    </row>
    <row r="89">
      <c r="A89" s="38" t="n"/>
      <c r="B89" s="38" t="n"/>
      <c r="C89" s="38" t="n"/>
      <c r="D89" s="38" t="n"/>
      <c r="E89" s="38" t="n"/>
      <c r="F89" s="38" t="n"/>
      <c r="G89" s="38" t="n"/>
      <c r="H89" s="38" t="n"/>
      <c r="I89" s="38" t="n"/>
      <c r="J89" s="38" t="n"/>
      <c r="K89" s="38" t="n"/>
      <c r="L89" s="38" t="n"/>
      <c r="M89" s="38" t="n"/>
    </row>
    <row r="90">
      <c r="A90" s="38" t="n"/>
      <c r="B90" s="38" t="n"/>
      <c r="C90" s="38" t="n"/>
      <c r="D90" s="38" t="n"/>
      <c r="E90" s="38" t="n"/>
      <c r="F90" s="38" t="n"/>
      <c r="G90" s="38" t="n"/>
      <c r="H90" s="38" t="n"/>
      <c r="I90" s="38" t="n"/>
      <c r="J90" s="38" t="n"/>
      <c r="K90" s="38" t="n"/>
      <c r="L90" s="38" t="n"/>
      <c r="M90" s="38" t="n"/>
    </row>
    <row r="91">
      <c r="A91" s="38" t="n"/>
      <c r="B91" s="38" t="n"/>
      <c r="C91" s="38" t="n"/>
      <c r="D91" s="38" t="n"/>
      <c r="E91" s="38" t="n"/>
      <c r="F91" s="38" t="n"/>
      <c r="G91" s="38" t="n"/>
      <c r="H91" s="38" t="n"/>
      <c r="I91" s="38" t="n"/>
      <c r="J91" s="38" t="n"/>
      <c r="K91" s="38" t="n"/>
      <c r="L91" s="38" t="n"/>
      <c r="M91" s="38" t="n"/>
    </row>
    <row r="92">
      <c r="A92" s="38" t="n"/>
      <c r="B92" s="38" t="n"/>
      <c r="C92" s="38" t="n"/>
      <c r="D92" s="38" t="n"/>
      <c r="E92" s="38" t="n"/>
      <c r="F92" s="38" t="n"/>
      <c r="G92" s="38" t="n"/>
      <c r="H92" s="38" t="n"/>
      <c r="I92" s="38" t="n"/>
      <c r="J92" s="38" t="n"/>
      <c r="K92" s="38" t="n"/>
      <c r="L92" s="38" t="n"/>
      <c r="M92" s="38" t="n"/>
    </row>
    <row r="93">
      <c r="A93" s="38" t="n"/>
      <c r="B93" s="38" t="n"/>
      <c r="C93" s="38" t="n"/>
      <c r="D93" s="38" t="n"/>
      <c r="E93" s="38" t="n"/>
      <c r="F93" s="38" t="n"/>
      <c r="G93" s="38" t="n"/>
      <c r="H93" s="38" t="n"/>
      <c r="I93" s="38" t="n"/>
      <c r="J93" s="38" t="n"/>
      <c r="K93" s="38" t="n"/>
      <c r="L93" s="38" t="n"/>
      <c r="M93" s="38" t="n"/>
    </row>
    <row r="94">
      <c r="A94" s="38" t="n"/>
      <c r="B94" s="38" t="n"/>
      <c r="C94" s="38" t="n"/>
      <c r="D94" s="38" t="n"/>
      <c r="E94" s="38" t="n"/>
      <c r="F94" s="38" t="n"/>
      <c r="G94" s="38" t="n"/>
      <c r="H94" s="38" t="n"/>
      <c r="I94" s="38" t="n"/>
      <c r="J94" s="38" t="n"/>
      <c r="K94" s="38" t="n"/>
      <c r="L94" s="38" t="n"/>
      <c r="M94" s="38" t="n"/>
    </row>
    <row r="95">
      <c r="A95" s="38" t="n"/>
      <c r="B95" s="38" t="n"/>
      <c r="C95" s="38" t="n"/>
      <c r="D95" s="38" t="n"/>
      <c r="E95" s="38" t="n"/>
      <c r="F95" s="38" t="n"/>
      <c r="G95" s="38" t="n"/>
      <c r="H95" s="38" t="n"/>
      <c r="I95" s="38" t="n"/>
      <c r="J95" s="38" t="n"/>
      <c r="K95" s="38" t="n"/>
      <c r="L95" s="38" t="n"/>
      <c r="M95" s="38" t="n"/>
    </row>
    <row r="96">
      <c r="A96" s="38" t="n"/>
      <c r="B96" s="38" t="n"/>
      <c r="C96" s="38" t="n"/>
      <c r="D96" s="38" t="n"/>
      <c r="E96" s="38" t="n"/>
      <c r="F96" s="38" t="n"/>
      <c r="G96" s="38" t="n"/>
      <c r="H96" s="38" t="n"/>
      <c r="I96" s="38" t="n"/>
      <c r="J96" s="38" t="n"/>
      <c r="K96" s="38" t="n"/>
      <c r="L96" s="38" t="n"/>
      <c r="M96" s="38" t="n"/>
    </row>
    <row r="97">
      <c r="A97" s="38" t="n"/>
      <c r="B97" s="38" t="n"/>
      <c r="C97" s="38" t="n"/>
      <c r="D97" s="38" t="n"/>
      <c r="E97" s="38" t="n"/>
      <c r="F97" s="38" t="n"/>
      <c r="G97" s="38" t="n"/>
      <c r="H97" s="38" t="n"/>
      <c r="I97" s="38" t="n"/>
      <c r="J97" s="38" t="n"/>
      <c r="K97" s="38" t="n"/>
      <c r="L97" s="38" t="n"/>
      <c r="M97" s="38" t="n"/>
    </row>
    <row r="98">
      <c r="A98" s="38" t="n"/>
      <c r="B98" s="38" t="n"/>
      <c r="C98" s="38" t="n"/>
      <c r="D98" s="38" t="n"/>
      <c r="E98" s="38" t="n"/>
      <c r="F98" s="38" t="n"/>
      <c r="G98" s="38" t="n"/>
      <c r="H98" s="38" t="n"/>
      <c r="I98" s="38" t="n"/>
      <c r="J98" s="38" t="n"/>
      <c r="K98" s="38" t="n"/>
      <c r="L98" s="38" t="n"/>
      <c r="M98" s="38" t="n"/>
    </row>
    <row r="99">
      <c r="A99" s="38" t="n"/>
      <c r="B99" s="38" t="n"/>
      <c r="C99" s="38" t="n"/>
      <c r="D99" s="38" t="n"/>
      <c r="E99" s="38" t="n"/>
      <c r="F99" s="38" t="n"/>
      <c r="G99" s="38" t="n"/>
      <c r="H99" s="38" t="n"/>
      <c r="I99" s="38" t="n"/>
      <c r="J99" s="38" t="n"/>
      <c r="K99" s="38" t="n"/>
      <c r="L99" s="38" t="n"/>
      <c r="M99" s="38" t="n"/>
    </row>
    <row r="100">
      <c r="A100" s="38" t="n"/>
      <c r="B100" s="38" t="n"/>
      <c r="C100" s="38" t="n"/>
      <c r="D100" s="38" t="n"/>
      <c r="E100" s="38" t="n"/>
      <c r="F100" s="38" t="n"/>
      <c r="G100" s="38" t="n"/>
      <c r="H100" s="38" t="n"/>
      <c r="I100" s="38" t="n"/>
      <c r="J100" s="38" t="n"/>
      <c r="K100" s="38" t="n"/>
      <c r="L100" s="38" t="n"/>
      <c r="M100" s="38" t="n"/>
    </row>
    <row r="101">
      <c r="A101" s="38" t="n"/>
      <c r="B101" s="38" t="n"/>
      <c r="C101" s="38" t="n"/>
      <c r="D101" s="38" t="n"/>
      <c r="E101" s="38" t="n"/>
      <c r="F101" s="38" t="n"/>
      <c r="G101" s="38" t="n"/>
      <c r="H101" s="38" t="n"/>
      <c r="I101" s="38" t="n"/>
      <c r="J101" s="38" t="n"/>
      <c r="K101" s="38" t="n"/>
      <c r="L101" s="38" t="n"/>
      <c r="M101" s="38" t="n"/>
    </row>
    <row r="102">
      <c r="A102" s="38" t="n"/>
      <c r="B102" s="38" t="n"/>
      <c r="C102" s="38" t="n"/>
      <c r="D102" s="38" t="n"/>
      <c r="E102" s="38" t="n"/>
      <c r="F102" s="38" t="n"/>
      <c r="G102" s="38" t="n"/>
      <c r="H102" s="38" t="n"/>
      <c r="I102" s="38" t="n"/>
      <c r="J102" s="38" t="n"/>
      <c r="K102" s="38" t="n"/>
      <c r="L102" s="38" t="n"/>
      <c r="M102" s="38" t="n"/>
    </row>
    <row r="103">
      <c r="A103" s="38" t="n"/>
      <c r="B103" s="38" t="n"/>
      <c r="C103" s="38" t="n"/>
      <c r="D103" s="38" t="n"/>
      <c r="E103" s="38" t="n"/>
      <c r="F103" s="38" t="n"/>
      <c r="G103" s="38" t="n"/>
      <c r="H103" s="38" t="n"/>
      <c r="I103" s="38" t="n"/>
      <c r="J103" s="38" t="n"/>
      <c r="K103" s="38" t="n"/>
      <c r="L103" s="38" t="n"/>
      <c r="M103" s="38" t="n"/>
    </row>
    <row r="104">
      <c r="A104" s="38" t="n"/>
      <c r="B104" s="38" t="n"/>
      <c r="C104" s="38" t="n"/>
      <c r="D104" s="38" t="n"/>
      <c r="E104" s="38" t="n"/>
      <c r="F104" s="38" t="n"/>
      <c r="G104" s="38" t="n"/>
      <c r="H104" s="38" t="n"/>
      <c r="I104" s="38" t="n"/>
      <c r="J104" s="38" t="n"/>
      <c r="K104" s="38" t="n"/>
      <c r="L104" s="38" t="n"/>
      <c r="M104" s="38" t="n"/>
    </row>
    <row r="105">
      <c r="A105" s="38" t="n"/>
      <c r="B105" s="38" t="n"/>
      <c r="C105" s="38" t="n"/>
      <c r="D105" s="38" t="n"/>
      <c r="E105" s="38" t="n"/>
      <c r="F105" s="38" t="n"/>
      <c r="G105" s="38" t="n"/>
      <c r="H105" s="38" t="n"/>
      <c r="I105" s="38" t="n"/>
      <c r="J105" s="38" t="n"/>
      <c r="K105" s="38" t="n"/>
      <c r="L105" s="38" t="n"/>
      <c r="M105" s="38" t="n"/>
    </row>
    <row r="106">
      <c r="A106" s="38" t="n"/>
      <c r="B106" s="38" t="n"/>
      <c r="C106" s="38" t="n"/>
      <c r="D106" s="38" t="n"/>
      <c r="E106" s="38" t="n"/>
      <c r="F106" s="38" t="n"/>
      <c r="G106" s="38" t="n"/>
      <c r="H106" s="38" t="n"/>
      <c r="I106" s="38" t="n"/>
      <c r="J106" s="38" t="n"/>
      <c r="K106" s="38" t="n"/>
      <c r="L106" s="38" t="n"/>
      <c r="M106" s="38" t="n"/>
    </row>
    <row r="107">
      <c r="A107" s="38" t="n"/>
      <c r="B107" s="38" t="n"/>
      <c r="C107" s="38" t="n"/>
      <c r="D107" s="38" t="n"/>
      <c r="E107" s="38" t="n"/>
      <c r="F107" s="38" t="n"/>
      <c r="G107" s="38" t="n"/>
      <c r="H107" s="38" t="n"/>
      <c r="I107" s="38" t="n"/>
      <c r="J107" s="38" t="n"/>
      <c r="K107" s="38" t="n"/>
      <c r="L107" s="38" t="n"/>
      <c r="M107" s="38" t="n"/>
    </row>
    <row r="108">
      <c r="A108" s="38" t="n"/>
      <c r="B108" s="38" t="n"/>
      <c r="C108" s="38" t="n"/>
      <c r="D108" s="38" t="n"/>
      <c r="E108" s="38" t="n"/>
      <c r="F108" s="38" t="n"/>
      <c r="G108" s="38" t="n"/>
      <c r="H108" s="38" t="n"/>
      <c r="I108" s="38" t="n"/>
      <c r="J108" s="38" t="n"/>
      <c r="K108" s="38" t="n"/>
      <c r="L108" s="38" t="n"/>
      <c r="M108" s="38" t="n"/>
    </row>
    <row r="109">
      <c r="A109" s="38" t="n"/>
      <c r="B109" s="38" t="n"/>
      <c r="C109" s="38" t="n"/>
      <c r="D109" s="38" t="n"/>
      <c r="E109" s="38" t="n"/>
      <c r="F109" s="38" t="n"/>
      <c r="G109" s="38" t="n"/>
      <c r="H109" s="38" t="n"/>
      <c r="I109" s="38" t="n"/>
      <c r="J109" s="38" t="n"/>
      <c r="K109" s="38" t="n"/>
      <c r="L109" s="38" t="n"/>
      <c r="M109" s="38" t="n"/>
    </row>
    <row r="110">
      <c r="A110" s="38" t="n"/>
      <c r="B110" s="38" t="n"/>
      <c r="C110" s="38" t="n"/>
      <c r="D110" s="38" t="n"/>
      <c r="E110" s="38" t="n"/>
      <c r="F110" s="38" t="n"/>
      <c r="G110" s="38" t="n"/>
      <c r="H110" s="38" t="n"/>
      <c r="I110" s="38" t="n"/>
      <c r="J110" s="38" t="n"/>
      <c r="K110" s="38" t="n"/>
      <c r="L110" s="38" t="n"/>
      <c r="M110" s="38" t="n"/>
    </row>
    <row r="111">
      <c r="A111" s="38" t="n"/>
      <c r="B111" s="38" t="n"/>
      <c r="C111" s="38" t="n"/>
      <c r="D111" s="38" t="n"/>
      <c r="E111" s="38" t="n"/>
      <c r="F111" s="38" t="n"/>
      <c r="G111" s="38" t="n"/>
      <c r="H111" s="38" t="n"/>
      <c r="I111" s="38" t="n"/>
      <c r="J111" s="38" t="n"/>
      <c r="K111" s="38" t="n"/>
      <c r="L111" s="38" t="n"/>
      <c r="M111" s="38" t="n"/>
    </row>
    <row r="112">
      <c r="A112" s="38" t="n"/>
      <c r="B112" s="38" t="n"/>
      <c r="C112" s="38" t="n"/>
      <c r="D112" s="38" t="n"/>
      <c r="E112" s="38" t="n"/>
      <c r="F112" s="38" t="n"/>
      <c r="G112" s="38" t="n"/>
      <c r="H112" s="38" t="n"/>
      <c r="I112" s="38" t="n"/>
      <c r="J112" s="38" t="n"/>
      <c r="K112" s="38" t="n"/>
      <c r="L112" s="38" t="n"/>
      <c r="M112" s="38" t="n"/>
    </row>
    <row r="113">
      <c r="A113" s="38" t="n"/>
      <c r="B113" s="38" t="n"/>
      <c r="C113" s="38" t="n"/>
      <c r="D113" s="38" t="n"/>
      <c r="E113" s="38" t="n"/>
      <c r="F113" s="38" t="n"/>
      <c r="G113" s="38" t="n"/>
      <c r="H113" s="38" t="n"/>
      <c r="I113" s="38" t="n"/>
      <c r="J113" s="38" t="n"/>
      <c r="K113" s="38" t="n"/>
      <c r="L113" s="38" t="n"/>
      <c r="M113" s="38" t="n"/>
    </row>
    <row r="114">
      <c r="A114" s="38" t="n"/>
      <c r="B114" s="38" t="n"/>
      <c r="C114" s="38" t="n"/>
      <c r="D114" s="38" t="n"/>
      <c r="E114" s="38" t="n"/>
      <c r="F114" s="38" t="n"/>
      <c r="G114" s="38" t="n"/>
      <c r="H114" s="38" t="n"/>
      <c r="I114" s="38" t="n"/>
      <c r="J114" s="38" t="n"/>
      <c r="K114" s="38" t="n"/>
      <c r="L114" s="38" t="n"/>
      <c r="M114" s="38" t="n"/>
    </row>
    <row r="115">
      <c r="A115" s="38" t="n"/>
      <c r="B115" s="38" t="n"/>
      <c r="C115" s="38" t="n"/>
      <c r="D115" s="38" t="n"/>
      <c r="E115" s="38" t="n"/>
      <c r="F115" s="38" t="n"/>
      <c r="G115" s="38" t="n"/>
      <c r="H115" s="38" t="n"/>
      <c r="I115" s="38" t="n"/>
      <c r="J115" s="38" t="n"/>
      <c r="K115" s="38" t="n"/>
      <c r="L115" s="38" t="n"/>
      <c r="M115" s="38" t="n"/>
    </row>
    <row r="116">
      <c r="A116" s="38" t="n"/>
      <c r="B116" s="38" t="n"/>
      <c r="C116" s="38" t="n"/>
      <c r="D116" s="38" t="n"/>
      <c r="E116" s="38" t="n"/>
      <c r="F116" s="38" t="n"/>
      <c r="G116" s="38" t="n"/>
      <c r="H116" s="38" t="n"/>
      <c r="I116" s="38" t="n"/>
      <c r="J116" s="38" t="n"/>
      <c r="K116" s="38" t="n"/>
      <c r="L116" s="38" t="n"/>
      <c r="M116" s="38" t="n"/>
    </row>
    <row r="117">
      <c r="A117" s="38" t="n"/>
      <c r="B117" s="38" t="n"/>
      <c r="C117" s="38" t="n"/>
      <c r="D117" s="38" t="n"/>
      <c r="E117" s="38" t="n"/>
      <c r="F117" s="38" t="n"/>
      <c r="G117" s="38" t="n"/>
      <c r="H117" s="38" t="n"/>
      <c r="I117" s="38" t="n"/>
      <c r="J117" s="38" t="n"/>
      <c r="K117" s="38" t="n"/>
      <c r="L117" s="38" t="n"/>
      <c r="M117" s="38" t="n"/>
    </row>
    <row r="118">
      <c r="A118" s="38" t="n"/>
      <c r="B118" s="38" t="n"/>
      <c r="C118" s="38" t="n"/>
      <c r="D118" s="38" t="n"/>
      <c r="E118" s="38" t="n"/>
      <c r="F118" s="38" t="n"/>
      <c r="G118" s="38" t="n"/>
      <c r="H118" s="38" t="n"/>
      <c r="I118" s="38" t="n"/>
      <c r="J118" s="38" t="n"/>
      <c r="K118" s="38" t="n"/>
      <c r="L118" s="38" t="n"/>
      <c r="M118" s="38" t="n"/>
    </row>
    <row r="119">
      <c r="A119" s="38" t="n"/>
      <c r="B119" s="38" t="n"/>
      <c r="C119" s="38" t="n"/>
      <c r="D119" s="38" t="n"/>
      <c r="E119" s="38" t="n"/>
      <c r="F119" s="38" t="n"/>
      <c r="G119" s="38" t="n"/>
      <c r="H119" s="38" t="n"/>
      <c r="I119" s="38" t="n"/>
      <c r="J119" s="38" t="n"/>
      <c r="K119" s="38" t="n"/>
      <c r="L119" s="38" t="n"/>
      <c r="M119" s="38" t="n"/>
    </row>
  </sheetData>
  <mergeCells count="6">
    <mergeCell ref="A2:F2"/>
    <mergeCell ref="A13:F13"/>
    <mergeCell ref="A1:F1"/>
    <mergeCell ref="A23:F23"/>
    <mergeCell ref="A32:F32"/>
    <mergeCell ref="A4:F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DC2626"/>
    <outlinePr summaryBelow="1" summaryRight="1"/>
    <pageSetUpPr/>
  </sheetPr>
  <dimension ref="A1:K12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6" customWidth="1" min="2" max="2"/>
    <col width="28" customWidth="1" min="3" max="3"/>
    <col width="45" customWidth="1" min="4" max="4"/>
    <col width="35" customWidth="1" min="5" max="5"/>
    <col width="18" customWidth="1" min="6" max="6"/>
    <col width="18" customWidth="1" min="7" max="7"/>
  </cols>
  <sheetData>
    <row r="1" ht="32" customHeight="1">
      <c r="A1" s="172" t="inlineStr">
        <is>
          <t>⚠️  CHALLENGES &amp; RISKS — Where FP Estimation Struggles</t>
        </is>
      </c>
      <c r="H1" s="38" t="n"/>
      <c r="I1" s="38" t="n"/>
      <c r="J1" s="38" t="n"/>
      <c r="K1" s="38" t="n"/>
    </row>
    <row r="2" ht="22" customHeight="1">
      <c r="A2" s="173" t="inlineStr">
        <is>
          <t>Understanding these limitations is critical. Where FP counting faces challenges, supplement with analogous estimation, parametric models, or expert judgment.</t>
        </is>
      </c>
      <c r="H2" s="38" t="n"/>
      <c r="I2" s="38" t="n"/>
      <c r="J2" s="38" t="n"/>
      <c r="K2" s="38" t="n"/>
    </row>
    <row r="3">
      <c r="A3" s="38" t="n"/>
      <c r="B3" s="38" t="n"/>
      <c r="C3" s="38" t="n"/>
      <c r="D3" s="38" t="n"/>
      <c r="E3" s="38" t="n"/>
      <c r="F3" s="38" t="n"/>
      <c r="G3" s="38" t="n"/>
      <c r="H3" s="38" t="n"/>
      <c r="I3" s="38" t="n"/>
      <c r="J3" s="38" t="n"/>
      <c r="K3" s="38" t="n"/>
    </row>
    <row r="4" ht="20" customHeight="1">
      <c r="A4" s="174" t="inlineStr">
        <is>
          <t>STRUCTURAL CHALLENGES — Where FP Counting Breaks Down</t>
        </is>
      </c>
      <c r="H4" s="38" t="n"/>
      <c r="I4" s="38" t="n"/>
      <c r="J4" s="38" t="n"/>
      <c r="K4" s="38" t="n"/>
    </row>
    <row r="5" ht="16" customHeight="1">
      <c r="A5" s="38" t="n"/>
      <c r="B5" s="175" t="inlineStr">
        <is>
          <t>#</t>
        </is>
      </c>
      <c r="C5" s="175" t="inlineStr">
        <is>
          <t>Challenge Area</t>
        </is>
      </c>
      <c r="D5" s="175" t="inlineStr">
        <is>
          <t>Specific Problem</t>
        </is>
      </c>
      <c r="E5" s="175" t="inlineStr">
        <is>
          <t>Impact on Estimate</t>
        </is>
      </c>
      <c r="F5" s="175" t="inlineStr">
        <is>
          <t>Affected Methods</t>
        </is>
      </c>
      <c r="G5" s="175" t="inlineStr">
        <is>
          <t>Recommended Mitigation</t>
        </is>
      </c>
      <c r="H5" s="38" t="n"/>
      <c r="I5" s="38" t="n"/>
      <c r="J5" s="38" t="n"/>
      <c r="K5" s="38" t="n"/>
    </row>
    <row r="6" ht="55" customHeight="1">
      <c r="A6" s="38" t="n"/>
      <c r="B6" s="176" t="inlineStr">
        <is>
          <t>C1</t>
        </is>
      </c>
      <c r="C6" s="176" t="inlineStr">
        <is>
          <t>AI / ML Systems</t>
        </is>
      </c>
      <c r="D6" s="177" t="inlineStr">
        <is>
          <t>FP methods were designed for deterministic input-process-output. AI/ML systems have training pipelines, model evaluation loops, and non-deterministic outputs that don't map to EI/EO/EQ/ILF/EIF cleanly.</t>
        </is>
      </c>
      <c r="E6" s="177" t="inlineStr">
        <is>
          <t>Systematic undercounting of ML effort by 40–60%. Data preparation, model tuning, and experiment tracking are invisible to FP.</t>
        </is>
      </c>
      <c r="F6" s="177" t="inlineStr">
        <is>
          <t>SFP, IFPUG, COSMIC</t>
        </is>
      </c>
      <c r="G6" s="177" t="inlineStr">
        <is>
          <t>Use FP only for the application wrapper. Size ML pipeline using story points or T-shirt sizing. Budget 40% extra for data science effort.</t>
        </is>
      </c>
      <c r="H6" s="38" t="n"/>
      <c r="I6" s="38" t="n"/>
      <c r="J6" s="38" t="n"/>
      <c r="K6" s="38" t="n"/>
    </row>
    <row r="7" ht="55" customHeight="1">
      <c r="A7" s="38" t="n"/>
      <c r="B7" s="178" t="inlineStr">
        <is>
          <t>C2</t>
        </is>
      </c>
      <c r="C7" s="178" t="inlineStr">
        <is>
          <t>Configuration-Heavy ERP</t>
        </is>
      </c>
      <c r="D7" s="158" t="inlineStr">
        <is>
          <t>SAP/Oracle standard screens, workflows, and reports belong to the vendor's FP count, not yours. Yet configuration effort (setting up org structure, GL accounts, business rules) can exceed custom development effort.</t>
        </is>
      </c>
      <c r="E7" s="158" t="inlineStr">
        <is>
          <t>IFPUG UFP captures only 30–40% of total ERP project effort when &gt;60% of work is configuration.</t>
        </is>
      </c>
      <c r="F7" s="158" t="inlineStr">
        <is>
          <t>SFP, IFPUG, COSMIC</t>
        </is>
      </c>
      <c r="G7" s="158" t="inlineStr">
        <is>
          <t>Use IFPUG only for RICEF custom objects. Use Configuration Points (1 CP = 1 consultant-day) for all config work. See ERP Hybrid model.</t>
        </is>
      </c>
      <c r="H7" s="38" t="n"/>
      <c r="I7" s="38" t="n"/>
      <c r="J7" s="38" t="n"/>
      <c r="K7" s="38" t="n"/>
    </row>
    <row r="8" ht="55" customHeight="1">
      <c r="A8" s="38" t="n"/>
      <c r="B8" s="176" t="inlineStr">
        <is>
          <t>C3</t>
        </is>
      </c>
      <c r="C8" s="176" t="inlineStr">
        <is>
          <t>Infrastructure &amp; DevOps</t>
        </is>
      </c>
      <c r="D8" s="177" t="inlineStr">
        <is>
          <t>CI/CD pipelines, Kubernetes manifests, Terraform scripts, monitoring dashboards — none of these deliver 'functional user requirements' and are therefore not countable as FP.</t>
        </is>
      </c>
      <c r="E8" s="177" t="inlineStr">
        <is>
          <t>Large DevOps investments are invisible. Projects with 20–30% DevOps effort will appear smaller than they are.</t>
        </is>
      </c>
      <c r="F8" s="177" t="inlineStr">
        <is>
          <t>SFP, IFPUG, COSMIC</t>
        </is>
      </c>
      <c r="G8" s="177" t="inlineStr">
        <is>
          <t>Use separate story-point-based sizing for DevOps tasks. Add 15–20% overhead to FP-based estimates for modern cloud-native projects.</t>
        </is>
      </c>
      <c r="H8" s="38" t="n"/>
      <c r="I8" s="38" t="n"/>
      <c r="J8" s="38" t="n"/>
      <c r="K8" s="38" t="n"/>
    </row>
    <row r="9" ht="55" customHeight="1">
      <c r="A9" s="38" t="n"/>
      <c r="B9" s="178" t="inlineStr">
        <is>
          <t>C4</t>
        </is>
      </c>
      <c r="C9" s="178" t="inlineStr">
        <is>
          <t>Real-Time / Event-Driven Systems</t>
        </is>
      </c>
      <c r="D9" s="158" t="inlineStr">
        <is>
          <t>IFPUG and SFP were designed for batch/online MIS systems. Real-time systems with event streams, message queues, and stateless microservices don't have clear 'files' and 'transactions' in the traditional sense.</t>
        </is>
      </c>
      <c r="E9" s="158" t="inlineStr">
        <is>
          <t>IFPUG may undercount real-time systems by 20–35% and overcount some simple event handlers.</t>
        </is>
      </c>
      <c r="F9" s="158" t="inlineStr">
        <is>
          <t>SFP, IFPUG</t>
        </is>
      </c>
      <c r="G9" s="158" t="inlineStr">
        <is>
          <t>Switch to COSMIC FP for real-time and event-driven systems. COSMIC's data movement model maps naturally to event streams.</t>
        </is>
      </c>
      <c r="H9" s="38" t="n"/>
      <c r="I9" s="38" t="n"/>
      <c r="J9" s="38" t="n"/>
      <c r="K9" s="38" t="n"/>
    </row>
    <row r="10" ht="55" customHeight="1">
      <c r="A10" s="38" t="n"/>
      <c r="B10" s="176" t="inlineStr">
        <is>
          <t>C5</t>
        </is>
      </c>
      <c r="C10" s="176" t="inlineStr">
        <is>
          <t>Embedded / Firmware Systems</t>
        </is>
      </c>
      <c r="D10" s="177" t="inlineStr">
        <is>
          <t>Hardware interaction, interrupt service routines, memory management, and real-time OS constraints have no direct FP equivalent. IFPUG and SFP cannot distinguish a 1-line hardware register write from a complex state machine.</t>
        </is>
      </c>
      <c r="E10" s="177" t="inlineStr">
        <is>
          <t>IFPUG UFP counts may be 50–80% lower than actual effort for firmware. Productivity rates (hrs/UFP) spike to 30–50+ for embedded.</t>
        </is>
      </c>
      <c r="F10" s="177" t="inlineStr">
        <is>
          <t>SFP, IFPUG</t>
        </is>
      </c>
      <c r="G10" s="177" t="inlineStr">
        <is>
          <t>Use COSMIC FP which handles real-time paradigms better. Even COSMIC needs calibration for firmware. Always supplement with expert estimation.</t>
        </is>
      </c>
      <c r="H10" s="38" t="n"/>
      <c r="I10" s="38" t="n"/>
      <c r="J10" s="38" t="n"/>
      <c r="K10" s="38" t="n"/>
    </row>
    <row r="11" ht="55" customHeight="1">
      <c r="A11" s="38" t="n"/>
      <c r="B11" s="178" t="inlineStr">
        <is>
          <t>C6</t>
        </is>
      </c>
      <c r="C11" s="178" t="inlineStr">
        <is>
          <t>Low-Code / No-Code Platforms</t>
        </is>
      </c>
      <c r="D11" s="158" t="inlineStr">
        <is>
          <t>Power Platform, Appian, OutSystems, Mendix configurations are partially or fully declarative. The same function might take 2 hours on Power Apps vs. 20 hours in custom code. FP counts the function, not the effort.</t>
        </is>
      </c>
      <c r="E11" s="158" t="inlineStr">
        <is>
          <t>Standard productivity rates (hrs/FP) are 40–70% lower on low-code platforms. Applying standard benchmarks will overestimate effort significantly.</t>
        </is>
      </c>
      <c r="F11" s="158" t="inlineStr">
        <is>
          <t>SFP, IFPUG, COSMIC</t>
        </is>
      </c>
      <c r="G11" s="158" t="inlineStr">
        <is>
          <t>Apply 0.3×–0.6× multiplier to productivity rates for low-code. Document explicitly. Benchmark against similar low-code projects, not general ISBSG data.</t>
        </is>
      </c>
      <c r="H11" s="38" t="n"/>
      <c r="I11" s="38" t="n"/>
      <c r="J11" s="38" t="n"/>
      <c r="K11" s="38" t="n"/>
    </row>
    <row r="12" ht="55" customHeight="1">
      <c r="A12" s="38" t="n"/>
      <c r="B12" s="176" t="inlineStr">
        <is>
          <t>C7</t>
        </is>
      </c>
      <c r="C12" s="176" t="inlineStr">
        <is>
          <t>Data Engineering / ETL Pipelines</t>
        </is>
      </c>
      <c r="D12" s="177" t="inlineStr">
        <is>
          <t>ETL pipelines, data lake ingestion, transformation rules, and data quality checks are partially countable (as EI/EO/ILF) but their complexity (number of transformations, data quality rules) is invisible to FP.</t>
        </is>
      </c>
      <c r="E12" s="177" t="inlineStr">
        <is>
          <t>FP counts may capture only 50–60% of actual ETL development effort. Complex transformation logic is treated identically to simple pass-through.</t>
        </is>
      </c>
      <c r="F12" s="177" t="inlineStr">
        <is>
          <t>SFP, IFPUG, COSMIC</t>
        </is>
      </c>
      <c r="G12" s="177" t="inlineStr">
        <is>
          <t>Count ETL source/target as EIF/ILF. Use Function Points for the control/orchestration layer. Add separate estimate for transformation rules complexity.</t>
        </is>
      </c>
      <c r="H12" s="38" t="n"/>
      <c r="I12" s="38" t="n"/>
      <c r="J12" s="38" t="n"/>
      <c r="K12" s="38" t="n"/>
    </row>
    <row r="13" ht="55" customHeight="1">
      <c r="A13" s="38" t="n"/>
      <c r="B13" s="178" t="inlineStr">
        <is>
          <t>C8</t>
        </is>
      </c>
      <c r="C13" s="178" t="inlineStr">
        <is>
          <t>Blockchain / Smart Contracts</t>
        </is>
      </c>
      <c r="D13" s="158" t="inlineStr">
        <is>
          <t>Smart contract logic, consensus mechanisms, gas optimization, and blockchain-specific testing patterns have no FP precedent. ISBSG has virtually no blockchain benchmark data.</t>
        </is>
      </c>
      <c r="E13" s="158" t="inlineStr">
        <is>
          <t>Any productivity rate used for blockchain is essentially a guess. Error margin ±50–80%.</t>
        </is>
      </c>
      <c r="F13" s="158" t="inlineStr">
        <is>
          <t>SFP, IFPUG, COSMIC</t>
        </is>
      </c>
      <c r="G13" s="158" t="inlineStr">
        <is>
          <t>Do NOT use FP as primary method for blockchain. Use story points with expert judgment. Apply 2.0–2.5× multiplier to any FP-based estimate.</t>
        </is>
      </c>
      <c r="H13" s="38" t="n"/>
      <c r="I13" s="38" t="n"/>
      <c r="J13" s="38" t="n"/>
      <c r="K13" s="38" t="n"/>
    </row>
    <row r="14">
      <c r="A14" s="38" t="n"/>
      <c r="B14" s="38" t="n"/>
      <c r="C14" s="38" t="n"/>
      <c r="D14" s="38" t="n"/>
      <c r="E14" s="38" t="n"/>
      <c r="F14" s="38" t="n"/>
      <c r="G14" s="38" t="n"/>
      <c r="H14" s="38" t="n"/>
      <c r="I14" s="38" t="n"/>
      <c r="J14" s="38" t="n"/>
      <c r="K14" s="38" t="n"/>
    </row>
    <row r="15" ht="20" customHeight="1">
      <c r="A15" s="47" t="inlineStr">
        <is>
          <t>PROCESS CHALLENGES — Counting Difficulties</t>
        </is>
      </c>
      <c r="H15" s="38" t="n"/>
      <c r="I15" s="38" t="n"/>
      <c r="J15" s="38" t="n"/>
      <c r="K15" s="38" t="n"/>
    </row>
    <row r="16" ht="16" customHeight="1">
      <c r="A16" s="38" t="n"/>
      <c r="B16" s="102" t="inlineStr">
        <is>
          <t>#</t>
        </is>
      </c>
      <c r="C16" s="102" t="inlineStr">
        <is>
          <t>Challenge Area</t>
        </is>
      </c>
      <c r="D16" s="102" t="inlineStr">
        <is>
          <t>Specific Problem</t>
        </is>
      </c>
      <c r="E16" s="102" t="inlineStr">
        <is>
          <t>Impact on Estimate</t>
        </is>
      </c>
      <c r="F16" s="102" t="inlineStr">
        <is>
          <t>Affected Methods</t>
        </is>
      </c>
      <c r="G16" s="102" t="inlineStr">
        <is>
          <t>Recommended Mitigation</t>
        </is>
      </c>
      <c r="H16" s="38" t="n"/>
      <c r="I16" s="38" t="n"/>
      <c r="J16" s="38" t="n"/>
      <c r="K16" s="38" t="n"/>
    </row>
    <row r="17" ht="55" customHeight="1">
      <c r="A17" s="38" t="n"/>
      <c r="B17" s="153" t="inlineStr">
        <is>
          <t>C9</t>
        </is>
      </c>
      <c r="C17" s="153" t="inlineStr">
        <is>
          <t>Vague Requirements</t>
        </is>
      </c>
      <c r="D17" s="155" t="inlineStr">
        <is>
          <t>FP counting requires defined user-visible functions, data groups, and inputs/outputs. When requirements are vague or expressed as epics, the counter must make many assumptions.</t>
        </is>
      </c>
      <c r="E17" s="155" t="inlineStr">
        <is>
          <t>Two analysts counting the same vague requirements may produce counts that differ by 25–40%. This is an inter-rater reliability problem.</t>
        </is>
      </c>
      <c r="F17" s="155" t="inlineStr">
        <is>
          <t>SFP, IFPUG, COSMIC</t>
        </is>
      </c>
      <c r="G17" s="155" t="inlineStr">
        <is>
          <t>Document all assumptions made during counting. Use SFP for vague requirements (fewer decisions needed). Recount when requirements are baselined.</t>
        </is>
      </c>
      <c r="H17" s="38" t="n"/>
      <c r="I17" s="38" t="n"/>
      <c r="J17" s="38" t="n"/>
      <c r="K17" s="38" t="n"/>
    </row>
    <row r="18" ht="55" customHeight="1">
      <c r="A18" s="38" t="n"/>
      <c r="B18" s="156" t="inlineStr">
        <is>
          <t>C10</t>
        </is>
      </c>
      <c r="C18" s="156" t="inlineStr">
        <is>
          <t>Counting Creep in Agile</t>
        </is>
      </c>
      <c r="D18" s="158" t="inlineStr">
        <is>
          <t>In Agile projects, requirements evolve every sprint. Maintaining an accurate FP count requires re-counting changed functions, which adds overhead and is often skipped.</t>
        </is>
      </c>
      <c r="E18" s="158" t="inlineStr">
        <is>
          <t>FP baseline becomes stale after 3–4 sprints. Scope creep goes undetected. Productivity metrics (velocity/FP) become unreliable.</t>
        </is>
      </c>
      <c r="F18" s="158" t="inlineStr">
        <is>
          <t>SFP, IFPUG, COSMIC</t>
        </is>
      </c>
      <c r="G18" s="158" t="inlineStr">
        <is>
          <t>Use SFP (fastest to recount). Assign a measurement analyst to update the register each sprint. Track 'delta FP' added per sprint for scope control.</t>
        </is>
      </c>
      <c r="H18" s="38" t="n"/>
      <c r="I18" s="38" t="n"/>
      <c r="J18" s="38" t="n"/>
      <c r="K18" s="38" t="n"/>
    </row>
    <row r="19" ht="55" customHeight="1">
      <c r="A19" s="38" t="n"/>
      <c r="B19" s="153" t="inlineStr">
        <is>
          <t>C11</t>
        </is>
      </c>
      <c r="C19" s="153" t="inlineStr">
        <is>
          <t>Analyst Subjectivity (IFPUG)</t>
        </is>
      </c>
      <c r="D19" s="155" t="inlineStr">
        <is>
          <t>IFPUG complexity classification (Low/Average/High) requires judgment on DET/FTR counts. Ambiguous screens with mixed data groups can be classified differently by different analysts.</t>
        </is>
      </c>
      <c r="E19" s="155" t="inlineStr">
        <is>
          <t>Inter-analyst variance: ±10–20% even for experienced CFPS-certified counters. Non-certified analysts may vary ±30%.</t>
        </is>
      </c>
      <c r="F19" s="155" t="inlineStr">
        <is>
          <t>IFPUG</t>
        </is>
      </c>
      <c r="G19" s="155" t="inlineStr">
        <is>
          <t>Certify at least one CFPS-trained analyst. Create a project-specific counting manual with decisions documented. Cross-check with a second analyst on complex functions.</t>
        </is>
      </c>
      <c r="H19" s="38" t="n"/>
      <c r="I19" s="38" t="n"/>
      <c r="J19" s="38" t="n"/>
      <c r="K19" s="38" t="n"/>
    </row>
    <row r="20" ht="55" customHeight="1">
      <c r="A20" s="38" t="n"/>
      <c r="B20" s="156" t="inlineStr">
        <is>
          <t>C12</t>
        </is>
      </c>
      <c r="C20" s="156" t="inlineStr">
        <is>
          <t>Scope Definition Disputes</t>
        </is>
      </c>
      <c r="D20" s="158" t="inlineStr">
        <is>
          <t>For outsourcing contracts, vendors and clients often disagree on whether a function is 'in scope' or 'already part of the base product'. This leads to commercial disputes.</t>
        </is>
      </c>
      <c r="E20" s="158" t="inlineStr">
        <is>
          <t>Disputes over 5–15% of total FP count are common in fixed-price contracts, representing significant financial exposure.</t>
        </is>
      </c>
      <c r="F20" s="158" t="inlineStr">
        <is>
          <t>IFPUG</t>
        </is>
      </c>
      <c r="G20" s="158" t="inlineStr">
        <is>
          <t>Use a jointly agreed counting scope document before contract signature. Have both parties sign off on the baseline FP count. Define change request process based on delta FP.</t>
        </is>
      </c>
      <c r="H20" s="38" t="n"/>
      <c r="I20" s="38" t="n"/>
      <c r="J20" s="38" t="n"/>
      <c r="K20" s="38" t="n"/>
    </row>
    <row r="21" ht="55" customHeight="1">
      <c r="A21" s="38" t="n"/>
      <c r="B21" s="153" t="inlineStr">
        <is>
          <t>C13</t>
        </is>
      </c>
      <c r="C21" s="153" t="inlineStr">
        <is>
          <t>Re-use and Shared Components</t>
        </is>
      </c>
      <c r="D21" s="155" t="inlineStr">
        <is>
          <t>When multiple modules share a common data file or transaction, it should be counted ONCE (per counting rules). Inexperienced counters may double-count shared files.</t>
        </is>
      </c>
      <c r="E21" s="155" t="inlineStr">
        <is>
          <t>Double-counting can inflate FP count by 10–25% in systems with significant shared components.</t>
        </is>
      </c>
      <c r="F21" s="155" t="inlineStr">
        <is>
          <t>SFP, IFPUG, COSMIC</t>
        </is>
      </c>
      <c r="G21" s="155" t="inlineStr">
        <is>
          <t>Maintain an entity-relationship diagram alongside FP counting. Track each ILF/EIF as a unique entry. Use a counting register spreadsheet.</t>
        </is>
      </c>
      <c r="H21" s="38" t="n"/>
      <c r="I21" s="38" t="n"/>
      <c r="J21" s="38" t="n"/>
      <c r="K21" s="38" t="n"/>
    </row>
    <row r="22" ht="55" customHeight="1">
      <c r="A22" s="38" t="n"/>
      <c r="B22" s="156" t="inlineStr">
        <is>
          <t>C14</t>
        </is>
      </c>
      <c r="C22" s="156" t="inlineStr">
        <is>
          <t>Third-Party API Complexity</t>
        </is>
      </c>
      <c r="D22" s="158" t="inlineStr">
        <is>
          <t>Third-party APIs (payment, maps, SMS) are counted as EIFs — one entry per data group. But a complex payment API with 15 endpoints and 3 data schemas might be counted as 1–2 EIFs, hiding true integration effort.</t>
        </is>
      </c>
      <c r="E22" s="158" t="inlineStr">
        <is>
          <t>API integration effort can be 2–5× higher than FP count suggests, especially for poorly documented or unstable APIs.</t>
        </is>
      </c>
      <c r="F22" s="158" t="inlineStr">
        <is>
          <t>SFP, IFPUG, COSMIC</t>
        </is>
      </c>
      <c r="G22" s="158" t="inlineStr">
        <is>
          <t>Count EIFs by data group, not API endpoint. Add a separate 'API integration complexity' risk buffer (5–15% of total effort) for external integrations.</t>
        </is>
      </c>
      <c r="H22" s="38" t="n"/>
      <c r="I22" s="38" t="n"/>
      <c r="J22" s="38" t="n"/>
      <c r="K22" s="38" t="n"/>
    </row>
    <row r="23">
      <c r="A23" s="38" t="n"/>
      <c r="B23" s="38" t="n"/>
      <c r="C23" s="38" t="n"/>
      <c r="D23" s="38" t="n"/>
      <c r="E23" s="38" t="n"/>
      <c r="F23" s="38" t="n"/>
      <c r="G23" s="38" t="n"/>
      <c r="H23" s="38" t="n"/>
      <c r="I23" s="38" t="n"/>
      <c r="J23" s="38" t="n"/>
      <c r="K23" s="38" t="n"/>
    </row>
    <row r="24" ht="20" customHeight="1">
      <c r="A24" s="45" t="inlineStr">
        <is>
          <t>BENCHMARKING CHALLENGES — Data &amp; Calibration Issues</t>
        </is>
      </c>
      <c r="H24" s="38" t="n"/>
      <c r="I24" s="38" t="n"/>
      <c r="J24" s="38" t="n"/>
      <c r="K24" s="38" t="n"/>
    </row>
    <row r="25" ht="16" customHeight="1">
      <c r="A25" s="38" t="n"/>
      <c r="B25" s="86" t="inlineStr">
        <is>
          <t>#</t>
        </is>
      </c>
      <c r="C25" s="86" t="inlineStr">
        <is>
          <t>Challenge Area</t>
        </is>
      </c>
      <c r="D25" s="86" t="inlineStr">
        <is>
          <t>Specific Problem</t>
        </is>
      </c>
      <c r="E25" s="86" t="inlineStr">
        <is>
          <t>Impact on Estimate</t>
        </is>
      </c>
      <c r="F25" s="86" t="inlineStr">
        <is>
          <t>Affected Methods</t>
        </is>
      </c>
      <c r="G25" s="86" t="inlineStr">
        <is>
          <t>Recommended Mitigation</t>
        </is>
      </c>
      <c r="H25" s="38" t="n"/>
      <c r="I25" s="38" t="n"/>
      <c r="J25" s="38" t="n"/>
      <c r="K25" s="38" t="n"/>
    </row>
    <row r="26" ht="55" customHeight="1">
      <c r="A26" s="38" t="n"/>
      <c r="B26" s="163" t="inlineStr">
        <is>
          <t>C15</t>
        </is>
      </c>
      <c r="C26" s="163" t="inlineStr">
        <is>
          <t>Stale Benchmark Data</t>
        </is>
      </c>
      <c r="D26" s="165" t="inlineStr">
        <is>
          <t>ISBSG benchmarks may be 2–5 years old. Technology, tooling, and AI-assisted coding (GitHub Copilot, Cursor) are changing productivity faster than benchmark databases update.</t>
        </is>
      </c>
      <c r="E26" s="165" t="inlineStr">
        <is>
          <t>AI coding tools (2024+) can increase productivity by 20–40% for standard CRUD/API work. Applying 2021 benchmarks will overestimate effort.</t>
        </is>
      </c>
      <c r="F26" s="165" t="inlineStr">
        <is>
          <t>SFP, IFPUG, COSMIC</t>
        </is>
      </c>
      <c r="G26" s="165" t="inlineStr">
        <is>
          <t>Apply a 15–25% productivity gain adjustment for projects using AI coding assistants. Note this in assumptions. Monitor quarterly as tooling evolves.</t>
        </is>
      </c>
      <c r="H26" s="38" t="n"/>
      <c r="I26" s="38" t="n"/>
      <c r="J26" s="38" t="n"/>
      <c r="K26" s="38" t="n"/>
    </row>
    <row r="27" ht="55" customHeight="1">
      <c r="A27" s="38" t="n"/>
      <c r="B27" s="166" t="inlineStr">
        <is>
          <t>C16</t>
        </is>
      </c>
      <c r="C27" s="166" t="inlineStr">
        <is>
          <t>Domain-Specific Variation</t>
        </is>
      </c>
      <c r="D27" s="158" t="inlineStr">
        <is>
          <t>Median benchmarks mask huge variation: a healthcare regulatory system and a simple CRUD web app both count as 'EI' but the healthcare one may take 5× longer due to compliance, auditability, and validation requirements.</t>
        </is>
      </c>
      <c r="E27" s="158" t="inlineStr">
        <is>
          <t>Using median benchmarks for highly regulated projects (FDA, RBI, SEBI) can underestimate by 40–60%.</t>
        </is>
      </c>
      <c r="F27" s="158" t="inlineStr">
        <is>
          <t>SFP, IFPUG, COSMIC</t>
        </is>
      </c>
      <c r="G27" s="158" t="inlineStr">
        <is>
          <t>Apply regulatory overhead multiplier: Healthcare FDA +40%, Banking RBI +25%, Government CERT +30%. Document the multiplier in assumptions.</t>
        </is>
      </c>
      <c r="H27" s="38" t="n"/>
      <c r="I27" s="38" t="n"/>
      <c r="J27" s="38" t="n"/>
      <c r="K27" s="38" t="n"/>
    </row>
    <row r="28" ht="55" customHeight="1">
      <c r="A28" s="38" t="n"/>
      <c r="B28" s="163" t="inlineStr">
        <is>
          <t>C17</t>
        </is>
      </c>
      <c r="C28" s="163" t="inlineStr">
        <is>
          <t>Team Experience Variance</t>
        </is>
      </c>
      <c r="D28" s="165" t="inlineStr">
        <is>
          <t>ISBSG benchmarks represent median teams. A high-performance team with domain expertise may deliver in 60% of median time. A new team on unfamiliar technology may take 2× median.</t>
        </is>
      </c>
      <c r="E28" s="165" t="inlineStr">
        <is>
          <t>Productivity variance between best and worst quartile teams is 3–5× for same project type. Using median rate for an expert team overestimates; for a new team, underestimates.</t>
        </is>
      </c>
      <c r="F28" s="165" t="inlineStr">
        <is>
          <t>SFP, IFPUG, COSMIC</t>
        </is>
      </c>
      <c r="G28" s="165" t="inlineStr">
        <is>
          <t>Adjust for team maturity: Expert team 0.7×; Average team 1.0×; New team 1.4–1.8×. Calibrate after first 2 sprints of actual data.</t>
        </is>
      </c>
      <c r="H28" s="38" t="n"/>
      <c r="I28" s="38" t="n"/>
      <c r="J28" s="38" t="n"/>
      <c r="K28" s="38" t="n"/>
    </row>
    <row r="29" ht="55" customHeight="1">
      <c r="A29" s="38" t="n"/>
      <c r="B29" s="166" t="inlineStr">
        <is>
          <t>C18</t>
        </is>
      </c>
      <c r="C29" s="166" t="inlineStr">
        <is>
          <t>No Gartner Subscription</t>
        </is>
      </c>
      <c r="D29" s="158" t="inlineStr">
        <is>
          <t>Gartner IT Key Metrics Data is behind a paid subscription ($15,000–$50,000/year). Organizations without access cannot validate estimates against Gartner benchmarks.</t>
        </is>
      </c>
      <c r="E29" s="158" t="inlineStr">
        <is>
          <t>Without benchmark validation, estimates rely solely on internal historical data or public ISBSG data, reducing confidence.</t>
        </is>
      </c>
      <c r="F29" s="158" t="inlineStr">
        <is>
          <t>SFP, IFPUG, COSMIC</t>
        </is>
      </c>
      <c r="G29" s="158" t="inlineStr">
        <is>
          <t>Use ISBSG public release data as free alternative. Engage NASSCOM or local industry bodies for benchmarks. Build internal project repository over 2–3 years.</t>
        </is>
      </c>
      <c r="H29" s="38" t="n"/>
      <c r="I29" s="38" t="n"/>
      <c r="J29" s="38" t="n"/>
      <c r="K29" s="38" t="n"/>
    </row>
    <row r="30">
      <c r="A30" s="38" t="n"/>
      <c r="B30" s="38" t="n"/>
      <c r="C30" s="38" t="n"/>
      <c r="D30" s="38" t="n"/>
      <c r="E30" s="38" t="n"/>
      <c r="F30" s="38" t="n"/>
      <c r="G30" s="38" t="n"/>
      <c r="H30" s="38" t="n"/>
      <c r="I30" s="38" t="n"/>
      <c r="J30" s="38" t="n"/>
      <c r="K30" s="38" t="n"/>
    </row>
    <row r="31">
      <c r="A31" s="38" t="n"/>
      <c r="B31" s="38" t="n"/>
      <c r="C31" s="38" t="n"/>
      <c r="D31" s="38" t="n"/>
      <c r="E31" s="38" t="n"/>
      <c r="F31" s="38" t="n"/>
      <c r="G31" s="38" t="n"/>
      <c r="H31" s="38" t="n"/>
      <c r="I31" s="38" t="n"/>
      <c r="J31" s="38" t="n"/>
      <c r="K31" s="38" t="n"/>
    </row>
    <row r="32">
      <c r="A32" s="38" t="n"/>
      <c r="B32" s="38" t="n"/>
      <c r="C32" s="38" t="n"/>
      <c r="D32" s="38" t="n"/>
      <c r="E32" s="38" t="n"/>
      <c r="F32" s="38" t="n"/>
      <c r="G32" s="38" t="n"/>
      <c r="H32" s="38" t="n"/>
      <c r="I32" s="38" t="n"/>
      <c r="J32" s="38" t="n"/>
      <c r="K32" s="38" t="n"/>
    </row>
    <row r="33">
      <c r="A33" s="38" t="n"/>
      <c r="B33" s="38" t="n"/>
      <c r="C33" s="38" t="n"/>
      <c r="D33" s="38" t="n"/>
      <c r="E33" s="38" t="n"/>
      <c r="F33" s="38" t="n"/>
      <c r="G33" s="38" t="n"/>
      <c r="H33" s="38" t="n"/>
      <c r="I33" s="38" t="n"/>
      <c r="J33" s="38" t="n"/>
      <c r="K33" s="38" t="n"/>
    </row>
    <row r="34">
      <c r="A34" s="38" t="n"/>
      <c r="B34" s="38" t="n"/>
      <c r="C34" s="38" t="n"/>
      <c r="D34" s="38" t="n"/>
      <c r="E34" s="38" t="n"/>
      <c r="F34" s="38" t="n"/>
      <c r="G34" s="38" t="n"/>
      <c r="H34" s="38" t="n"/>
      <c r="I34" s="38" t="n"/>
      <c r="J34" s="38" t="n"/>
      <c r="K34" s="38" t="n"/>
    </row>
    <row r="35">
      <c r="A35" s="38" t="n"/>
      <c r="B35" s="38" t="n"/>
      <c r="C35" s="38" t="n"/>
      <c r="D35" s="38" t="n"/>
      <c r="E35" s="38" t="n"/>
      <c r="F35" s="38" t="n"/>
      <c r="G35" s="38" t="n"/>
      <c r="H35" s="38" t="n"/>
      <c r="I35" s="38" t="n"/>
      <c r="J35" s="38" t="n"/>
      <c r="K35" s="38" t="n"/>
    </row>
    <row r="36">
      <c r="A36" s="38" t="n"/>
      <c r="B36" s="38" t="n"/>
      <c r="C36" s="38" t="n"/>
      <c r="D36" s="38" t="n"/>
      <c r="E36" s="38" t="n"/>
      <c r="F36" s="38" t="n"/>
      <c r="G36" s="38" t="n"/>
      <c r="H36" s="38" t="n"/>
      <c r="I36" s="38" t="n"/>
      <c r="J36" s="38" t="n"/>
      <c r="K36" s="38" t="n"/>
    </row>
    <row r="37">
      <c r="A37" s="38" t="n"/>
      <c r="B37" s="38" t="n"/>
      <c r="C37" s="38" t="n"/>
      <c r="D37" s="38" t="n"/>
      <c r="E37" s="38" t="n"/>
      <c r="F37" s="38" t="n"/>
      <c r="G37" s="38" t="n"/>
      <c r="H37" s="38" t="n"/>
      <c r="I37" s="38" t="n"/>
      <c r="J37" s="38" t="n"/>
      <c r="K37" s="38" t="n"/>
    </row>
    <row r="38">
      <c r="A38" s="38" t="n"/>
      <c r="B38" s="38" t="n"/>
      <c r="C38" s="38" t="n"/>
      <c r="D38" s="38" t="n"/>
      <c r="E38" s="38" t="n"/>
      <c r="F38" s="38" t="n"/>
      <c r="G38" s="38" t="n"/>
      <c r="H38" s="38" t="n"/>
      <c r="I38" s="38" t="n"/>
      <c r="J38" s="38" t="n"/>
      <c r="K38" s="38" t="n"/>
    </row>
    <row r="39">
      <c r="A39" s="38" t="n"/>
      <c r="B39" s="38" t="n"/>
      <c r="C39" s="38" t="n"/>
      <c r="D39" s="38" t="n"/>
      <c r="E39" s="38" t="n"/>
      <c r="F39" s="38" t="n"/>
      <c r="G39" s="38" t="n"/>
      <c r="H39" s="38" t="n"/>
      <c r="I39" s="38" t="n"/>
      <c r="J39" s="38" t="n"/>
      <c r="K39" s="38" t="n"/>
    </row>
    <row r="40">
      <c r="A40" s="38" t="n"/>
      <c r="B40" s="38" t="n"/>
      <c r="C40" s="38" t="n"/>
      <c r="D40" s="38" t="n"/>
      <c r="E40" s="38" t="n"/>
      <c r="F40" s="38" t="n"/>
      <c r="G40" s="38" t="n"/>
      <c r="H40" s="38" t="n"/>
      <c r="I40" s="38" t="n"/>
      <c r="J40" s="38" t="n"/>
      <c r="K40" s="38" t="n"/>
    </row>
    <row r="41">
      <c r="A41" s="38" t="n"/>
      <c r="B41" s="38" t="n"/>
      <c r="C41" s="38" t="n"/>
      <c r="D41" s="38" t="n"/>
      <c r="E41" s="38" t="n"/>
      <c r="F41" s="38" t="n"/>
      <c r="G41" s="38" t="n"/>
      <c r="H41" s="38" t="n"/>
      <c r="I41" s="38" t="n"/>
      <c r="J41" s="38" t="n"/>
      <c r="K41" s="38" t="n"/>
    </row>
    <row r="42">
      <c r="A42" s="38" t="n"/>
      <c r="B42" s="38" t="n"/>
      <c r="C42" s="38" t="n"/>
      <c r="D42" s="38" t="n"/>
      <c r="E42" s="38" t="n"/>
      <c r="F42" s="38" t="n"/>
      <c r="G42" s="38" t="n"/>
      <c r="H42" s="38" t="n"/>
      <c r="I42" s="38" t="n"/>
      <c r="J42" s="38" t="n"/>
      <c r="K42" s="38" t="n"/>
    </row>
    <row r="43">
      <c r="A43" s="38" t="n"/>
      <c r="B43" s="38" t="n"/>
      <c r="C43" s="38" t="n"/>
      <c r="D43" s="38" t="n"/>
      <c r="E43" s="38" t="n"/>
      <c r="F43" s="38" t="n"/>
      <c r="G43" s="38" t="n"/>
      <c r="H43" s="38" t="n"/>
      <c r="I43" s="38" t="n"/>
      <c r="J43" s="38" t="n"/>
      <c r="K43" s="38" t="n"/>
    </row>
    <row r="44">
      <c r="A44" s="38" t="n"/>
      <c r="B44" s="38" t="n"/>
      <c r="C44" s="38" t="n"/>
      <c r="D44" s="38" t="n"/>
      <c r="E44" s="38" t="n"/>
      <c r="F44" s="38" t="n"/>
      <c r="G44" s="38" t="n"/>
      <c r="H44" s="38" t="n"/>
      <c r="I44" s="38" t="n"/>
      <c r="J44" s="38" t="n"/>
      <c r="K44" s="38" t="n"/>
    </row>
    <row r="45">
      <c r="A45" s="38" t="n"/>
      <c r="B45" s="38" t="n"/>
      <c r="C45" s="38" t="n"/>
      <c r="D45" s="38" t="n"/>
      <c r="E45" s="38" t="n"/>
      <c r="F45" s="38" t="n"/>
      <c r="G45" s="38" t="n"/>
      <c r="H45" s="38" t="n"/>
      <c r="I45" s="38" t="n"/>
      <c r="J45" s="38" t="n"/>
      <c r="K45" s="38" t="n"/>
    </row>
    <row r="46">
      <c r="A46" s="38" t="n"/>
      <c r="B46" s="38" t="n"/>
      <c r="C46" s="38" t="n"/>
      <c r="D46" s="38" t="n"/>
      <c r="E46" s="38" t="n"/>
      <c r="F46" s="38" t="n"/>
      <c r="G46" s="38" t="n"/>
      <c r="H46" s="38" t="n"/>
      <c r="I46" s="38" t="n"/>
      <c r="J46" s="38" t="n"/>
      <c r="K46" s="38" t="n"/>
    </row>
    <row r="47">
      <c r="A47" s="38" t="n"/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</row>
    <row r="48">
      <c r="A48" s="38" t="n"/>
      <c r="B48" s="38" t="n"/>
      <c r="C48" s="38" t="n"/>
      <c r="D48" s="38" t="n"/>
      <c r="E48" s="38" t="n"/>
      <c r="F48" s="38" t="n"/>
      <c r="G48" s="38" t="n"/>
      <c r="H48" s="38" t="n"/>
      <c r="I48" s="38" t="n"/>
      <c r="J48" s="38" t="n"/>
      <c r="K48" s="38" t="n"/>
    </row>
    <row r="49">
      <c r="A49" s="38" t="n"/>
      <c r="B49" s="38" t="n"/>
      <c r="C49" s="38" t="n"/>
      <c r="D49" s="38" t="n"/>
      <c r="E49" s="38" t="n"/>
      <c r="F49" s="38" t="n"/>
      <c r="G49" s="38" t="n"/>
      <c r="H49" s="38" t="n"/>
      <c r="I49" s="38" t="n"/>
      <c r="J49" s="38" t="n"/>
      <c r="K49" s="38" t="n"/>
    </row>
    <row r="50">
      <c r="A50" s="38" t="n"/>
      <c r="B50" s="38" t="n"/>
      <c r="C50" s="38" t="n"/>
      <c r="D50" s="38" t="n"/>
      <c r="E50" s="38" t="n"/>
      <c r="F50" s="38" t="n"/>
      <c r="G50" s="38" t="n"/>
      <c r="H50" s="38" t="n"/>
      <c r="I50" s="38" t="n"/>
      <c r="J50" s="38" t="n"/>
      <c r="K50" s="38" t="n"/>
    </row>
    <row r="51">
      <c r="A51" s="38" t="n"/>
      <c r="B51" s="38" t="n"/>
      <c r="C51" s="38" t="n"/>
      <c r="D51" s="38" t="n"/>
      <c r="E51" s="38" t="n"/>
      <c r="F51" s="38" t="n"/>
      <c r="G51" s="38" t="n"/>
      <c r="H51" s="38" t="n"/>
      <c r="I51" s="38" t="n"/>
      <c r="J51" s="38" t="n"/>
      <c r="K51" s="38" t="n"/>
    </row>
    <row r="52">
      <c r="A52" s="38" t="n"/>
      <c r="B52" s="38" t="n"/>
      <c r="C52" s="38" t="n"/>
      <c r="D52" s="38" t="n"/>
      <c r="E52" s="38" t="n"/>
      <c r="F52" s="38" t="n"/>
      <c r="G52" s="38" t="n"/>
      <c r="H52" s="38" t="n"/>
      <c r="I52" s="38" t="n"/>
      <c r="J52" s="38" t="n"/>
      <c r="K52" s="38" t="n"/>
    </row>
    <row r="53">
      <c r="A53" s="38" t="n"/>
      <c r="B53" s="38" t="n"/>
      <c r="C53" s="38" t="n"/>
      <c r="D53" s="38" t="n"/>
      <c r="E53" s="38" t="n"/>
      <c r="F53" s="38" t="n"/>
      <c r="G53" s="38" t="n"/>
      <c r="H53" s="38" t="n"/>
      <c r="I53" s="38" t="n"/>
      <c r="J53" s="38" t="n"/>
      <c r="K53" s="38" t="n"/>
    </row>
    <row r="54">
      <c r="A54" s="38" t="n"/>
      <c r="B54" s="38" t="n"/>
      <c r="C54" s="38" t="n"/>
      <c r="D54" s="38" t="n"/>
      <c r="E54" s="38" t="n"/>
      <c r="F54" s="38" t="n"/>
      <c r="G54" s="38" t="n"/>
      <c r="H54" s="38" t="n"/>
      <c r="I54" s="38" t="n"/>
      <c r="J54" s="38" t="n"/>
      <c r="K54" s="38" t="n"/>
    </row>
    <row r="55">
      <c r="A55" s="38" t="n"/>
      <c r="B55" s="38" t="n"/>
      <c r="C55" s="38" t="n"/>
      <c r="D55" s="38" t="n"/>
      <c r="E55" s="38" t="n"/>
      <c r="F55" s="38" t="n"/>
      <c r="G55" s="38" t="n"/>
      <c r="H55" s="38" t="n"/>
      <c r="I55" s="38" t="n"/>
      <c r="J55" s="38" t="n"/>
      <c r="K55" s="38" t="n"/>
    </row>
    <row r="56">
      <c r="A56" s="38" t="n"/>
      <c r="B56" s="38" t="n"/>
      <c r="C56" s="38" t="n"/>
      <c r="D56" s="38" t="n"/>
      <c r="E56" s="38" t="n"/>
      <c r="F56" s="38" t="n"/>
      <c r="G56" s="38" t="n"/>
      <c r="H56" s="38" t="n"/>
      <c r="I56" s="38" t="n"/>
      <c r="J56" s="38" t="n"/>
      <c r="K56" s="38" t="n"/>
    </row>
    <row r="57">
      <c r="A57" s="38" t="n"/>
      <c r="B57" s="38" t="n"/>
      <c r="C57" s="38" t="n"/>
      <c r="D57" s="38" t="n"/>
      <c r="E57" s="38" t="n"/>
      <c r="F57" s="38" t="n"/>
      <c r="G57" s="38" t="n"/>
      <c r="H57" s="38" t="n"/>
      <c r="I57" s="38" t="n"/>
      <c r="J57" s="38" t="n"/>
      <c r="K57" s="38" t="n"/>
    </row>
    <row r="58">
      <c r="A58" s="38" t="n"/>
      <c r="B58" s="38" t="n"/>
      <c r="C58" s="38" t="n"/>
      <c r="D58" s="38" t="n"/>
      <c r="E58" s="38" t="n"/>
      <c r="F58" s="38" t="n"/>
      <c r="G58" s="38" t="n"/>
      <c r="H58" s="38" t="n"/>
      <c r="I58" s="38" t="n"/>
      <c r="J58" s="38" t="n"/>
      <c r="K58" s="38" t="n"/>
    </row>
    <row r="59">
      <c r="A59" s="38" t="n"/>
      <c r="B59" s="38" t="n"/>
      <c r="C59" s="38" t="n"/>
      <c r="D59" s="38" t="n"/>
      <c r="E59" s="38" t="n"/>
      <c r="F59" s="38" t="n"/>
      <c r="G59" s="38" t="n"/>
      <c r="H59" s="38" t="n"/>
      <c r="I59" s="38" t="n"/>
      <c r="J59" s="38" t="n"/>
      <c r="K59" s="38" t="n"/>
    </row>
    <row r="60">
      <c r="A60" s="38" t="n"/>
      <c r="B60" s="38" t="n"/>
      <c r="C60" s="38" t="n"/>
      <c r="D60" s="38" t="n"/>
      <c r="E60" s="38" t="n"/>
      <c r="F60" s="38" t="n"/>
      <c r="G60" s="38" t="n"/>
      <c r="H60" s="38" t="n"/>
      <c r="I60" s="38" t="n"/>
      <c r="J60" s="38" t="n"/>
      <c r="K60" s="38" t="n"/>
    </row>
    <row r="61">
      <c r="A61" s="38" t="n"/>
      <c r="B61" s="38" t="n"/>
      <c r="C61" s="38" t="n"/>
      <c r="D61" s="38" t="n"/>
      <c r="E61" s="38" t="n"/>
      <c r="F61" s="38" t="n"/>
      <c r="G61" s="38" t="n"/>
      <c r="H61" s="38" t="n"/>
      <c r="I61" s="38" t="n"/>
      <c r="J61" s="38" t="n"/>
      <c r="K61" s="38" t="n"/>
    </row>
    <row r="62">
      <c r="A62" s="38" t="n"/>
      <c r="B62" s="38" t="n"/>
      <c r="C62" s="38" t="n"/>
      <c r="D62" s="38" t="n"/>
      <c r="E62" s="38" t="n"/>
      <c r="F62" s="38" t="n"/>
      <c r="G62" s="38" t="n"/>
      <c r="H62" s="38" t="n"/>
      <c r="I62" s="38" t="n"/>
      <c r="J62" s="38" t="n"/>
      <c r="K62" s="38" t="n"/>
    </row>
    <row r="63">
      <c r="A63" s="38" t="n"/>
      <c r="B63" s="38" t="n"/>
      <c r="C63" s="38" t="n"/>
      <c r="D63" s="38" t="n"/>
      <c r="E63" s="38" t="n"/>
      <c r="F63" s="38" t="n"/>
      <c r="G63" s="38" t="n"/>
      <c r="H63" s="38" t="n"/>
      <c r="I63" s="38" t="n"/>
      <c r="J63" s="38" t="n"/>
      <c r="K63" s="38" t="n"/>
    </row>
    <row r="64">
      <c r="A64" s="38" t="n"/>
      <c r="B64" s="38" t="n"/>
      <c r="C64" s="38" t="n"/>
      <c r="D64" s="38" t="n"/>
      <c r="E64" s="38" t="n"/>
      <c r="F64" s="38" t="n"/>
      <c r="G64" s="38" t="n"/>
      <c r="H64" s="38" t="n"/>
      <c r="I64" s="38" t="n"/>
      <c r="J64" s="38" t="n"/>
      <c r="K64" s="38" t="n"/>
    </row>
    <row r="65">
      <c r="A65" s="38" t="n"/>
      <c r="B65" s="38" t="n"/>
      <c r="C65" s="38" t="n"/>
      <c r="D65" s="38" t="n"/>
      <c r="E65" s="38" t="n"/>
      <c r="F65" s="38" t="n"/>
      <c r="G65" s="38" t="n"/>
      <c r="H65" s="38" t="n"/>
      <c r="I65" s="38" t="n"/>
      <c r="J65" s="38" t="n"/>
      <c r="K65" s="38" t="n"/>
    </row>
    <row r="66">
      <c r="A66" s="38" t="n"/>
      <c r="B66" s="38" t="n"/>
      <c r="C66" s="38" t="n"/>
      <c r="D66" s="38" t="n"/>
      <c r="E66" s="38" t="n"/>
      <c r="F66" s="38" t="n"/>
      <c r="G66" s="38" t="n"/>
      <c r="H66" s="38" t="n"/>
      <c r="I66" s="38" t="n"/>
      <c r="J66" s="38" t="n"/>
      <c r="K66" s="38" t="n"/>
    </row>
    <row r="67">
      <c r="A67" s="38" t="n"/>
      <c r="B67" s="38" t="n"/>
      <c r="C67" s="38" t="n"/>
      <c r="D67" s="38" t="n"/>
      <c r="E67" s="38" t="n"/>
      <c r="F67" s="38" t="n"/>
      <c r="G67" s="38" t="n"/>
      <c r="H67" s="38" t="n"/>
      <c r="I67" s="38" t="n"/>
      <c r="J67" s="38" t="n"/>
      <c r="K67" s="38" t="n"/>
    </row>
    <row r="68">
      <c r="A68" s="38" t="n"/>
      <c r="B68" s="38" t="n"/>
      <c r="C68" s="38" t="n"/>
      <c r="D68" s="38" t="n"/>
      <c r="E68" s="38" t="n"/>
      <c r="F68" s="38" t="n"/>
      <c r="G68" s="38" t="n"/>
      <c r="H68" s="38" t="n"/>
      <c r="I68" s="38" t="n"/>
      <c r="J68" s="38" t="n"/>
      <c r="K68" s="38" t="n"/>
    </row>
    <row r="69">
      <c r="A69" s="38" t="n"/>
      <c r="B69" s="38" t="n"/>
      <c r="C69" s="38" t="n"/>
      <c r="D69" s="38" t="n"/>
      <c r="E69" s="38" t="n"/>
      <c r="F69" s="38" t="n"/>
      <c r="G69" s="38" t="n"/>
      <c r="H69" s="38" t="n"/>
      <c r="I69" s="38" t="n"/>
      <c r="J69" s="38" t="n"/>
      <c r="K69" s="38" t="n"/>
    </row>
    <row r="70">
      <c r="A70" s="38" t="n"/>
      <c r="B70" s="38" t="n"/>
      <c r="C70" s="38" t="n"/>
      <c r="D70" s="38" t="n"/>
      <c r="E70" s="38" t="n"/>
      <c r="F70" s="38" t="n"/>
      <c r="G70" s="38" t="n"/>
      <c r="H70" s="38" t="n"/>
      <c r="I70" s="38" t="n"/>
      <c r="J70" s="38" t="n"/>
      <c r="K70" s="38" t="n"/>
    </row>
    <row r="71">
      <c r="A71" s="38" t="n"/>
      <c r="B71" s="38" t="n"/>
      <c r="C71" s="38" t="n"/>
      <c r="D71" s="38" t="n"/>
      <c r="E71" s="38" t="n"/>
      <c r="F71" s="38" t="n"/>
      <c r="G71" s="38" t="n"/>
      <c r="H71" s="38" t="n"/>
      <c r="I71" s="38" t="n"/>
      <c r="J71" s="38" t="n"/>
      <c r="K71" s="38" t="n"/>
    </row>
    <row r="72">
      <c r="A72" s="38" t="n"/>
      <c r="B72" s="38" t="n"/>
      <c r="C72" s="38" t="n"/>
      <c r="D72" s="38" t="n"/>
      <c r="E72" s="38" t="n"/>
      <c r="F72" s="38" t="n"/>
      <c r="G72" s="38" t="n"/>
      <c r="H72" s="38" t="n"/>
      <c r="I72" s="38" t="n"/>
      <c r="J72" s="38" t="n"/>
      <c r="K72" s="38" t="n"/>
    </row>
    <row r="73">
      <c r="A73" s="38" t="n"/>
      <c r="B73" s="38" t="n"/>
      <c r="C73" s="38" t="n"/>
      <c r="D73" s="38" t="n"/>
      <c r="E73" s="38" t="n"/>
      <c r="F73" s="38" t="n"/>
      <c r="G73" s="38" t="n"/>
      <c r="H73" s="38" t="n"/>
      <c r="I73" s="38" t="n"/>
      <c r="J73" s="38" t="n"/>
      <c r="K73" s="38" t="n"/>
    </row>
    <row r="74">
      <c r="A74" s="38" t="n"/>
      <c r="B74" s="38" t="n"/>
      <c r="C74" s="38" t="n"/>
      <c r="D74" s="38" t="n"/>
      <c r="E74" s="38" t="n"/>
      <c r="F74" s="38" t="n"/>
      <c r="G74" s="38" t="n"/>
      <c r="H74" s="38" t="n"/>
      <c r="I74" s="38" t="n"/>
      <c r="J74" s="38" t="n"/>
      <c r="K74" s="38" t="n"/>
    </row>
    <row r="75">
      <c r="A75" s="38" t="n"/>
      <c r="B75" s="38" t="n"/>
      <c r="C75" s="38" t="n"/>
      <c r="D75" s="38" t="n"/>
      <c r="E75" s="38" t="n"/>
      <c r="F75" s="38" t="n"/>
      <c r="G75" s="38" t="n"/>
      <c r="H75" s="38" t="n"/>
      <c r="I75" s="38" t="n"/>
      <c r="J75" s="38" t="n"/>
      <c r="K75" s="38" t="n"/>
    </row>
    <row r="76">
      <c r="A76" s="38" t="n"/>
      <c r="B76" s="38" t="n"/>
      <c r="C76" s="38" t="n"/>
      <c r="D76" s="38" t="n"/>
      <c r="E76" s="38" t="n"/>
      <c r="F76" s="38" t="n"/>
      <c r="G76" s="38" t="n"/>
      <c r="H76" s="38" t="n"/>
      <c r="I76" s="38" t="n"/>
      <c r="J76" s="38" t="n"/>
      <c r="K76" s="38" t="n"/>
    </row>
    <row r="77">
      <c r="A77" s="38" t="n"/>
      <c r="B77" s="38" t="n"/>
      <c r="C77" s="38" t="n"/>
      <c r="D77" s="38" t="n"/>
      <c r="E77" s="38" t="n"/>
      <c r="F77" s="38" t="n"/>
      <c r="G77" s="38" t="n"/>
      <c r="H77" s="38" t="n"/>
      <c r="I77" s="38" t="n"/>
      <c r="J77" s="38" t="n"/>
      <c r="K77" s="38" t="n"/>
    </row>
    <row r="78">
      <c r="A78" s="38" t="n"/>
      <c r="B78" s="38" t="n"/>
      <c r="C78" s="38" t="n"/>
      <c r="D78" s="38" t="n"/>
      <c r="E78" s="38" t="n"/>
      <c r="F78" s="38" t="n"/>
      <c r="G78" s="38" t="n"/>
      <c r="H78" s="38" t="n"/>
      <c r="I78" s="38" t="n"/>
      <c r="J78" s="38" t="n"/>
      <c r="K78" s="38" t="n"/>
    </row>
    <row r="79">
      <c r="A79" s="38" t="n"/>
      <c r="B79" s="38" t="n"/>
      <c r="C79" s="38" t="n"/>
      <c r="D79" s="38" t="n"/>
      <c r="E79" s="38" t="n"/>
      <c r="F79" s="38" t="n"/>
      <c r="G79" s="38" t="n"/>
      <c r="H79" s="38" t="n"/>
      <c r="I79" s="38" t="n"/>
      <c r="J79" s="38" t="n"/>
      <c r="K79" s="38" t="n"/>
    </row>
    <row r="80">
      <c r="A80" s="38" t="n"/>
      <c r="B80" s="38" t="n"/>
      <c r="C80" s="38" t="n"/>
      <c r="D80" s="38" t="n"/>
      <c r="E80" s="38" t="n"/>
      <c r="F80" s="38" t="n"/>
      <c r="G80" s="38" t="n"/>
      <c r="H80" s="38" t="n"/>
      <c r="I80" s="38" t="n"/>
      <c r="J80" s="38" t="n"/>
      <c r="K80" s="38" t="n"/>
    </row>
    <row r="81">
      <c r="A81" s="38" t="n"/>
      <c r="B81" s="38" t="n"/>
      <c r="C81" s="38" t="n"/>
      <c r="D81" s="38" t="n"/>
      <c r="E81" s="38" t="n"/>
      <c r="F81" s="38" t="n"/>
      <c r="G81" s="38" t="n"/>
      <c r="H81" s="38" t="n"/>
      <c r="I81" s="38" t="n"/>
      <c r="J81" s="38" t="n"/>
      <c r="K81" s="38" t="n"/>
    </row>
    <row r="82">
      <c r="A82" s="38" t="n"/>
      <c r="B82" s="38" t="n"/>
      <c r="C82" s="38" t="n"/>
      <c r="D82" s="38" t="n"/>
      <c r="E82" s="38" t="n"/>
      <c r="F82" s="38" t="n"/>
      <c r="G82" s="38" t="n"/>
      <c r="H82" s="38" t="n"/>
      <c r="I82" s="38" t="n"/>
      <c r="J82" s="38" t="n"/>
      <c r="K82" s="38" t="n"/>
    </row>
    <row r="83">
      <c r="A83" s="38" t="n"/>
      <c r="B83" s="38" t="n"/>
      <c r="C83" s="38" t="n"/>
      <c r="D83" s="38" t="n"/>
      <c r="E83" s="38" t="n"/>
      <c r="F83" s="38" t="n"/>
      <c r="G83" s="38" t="n"/>
      <c r="H83" s="38" t="n"/>
      <c r="I83" s="38" t="n"/>
      <c r="J83" s="38" t="n"/>
      <c r="K83" s="38" t="n"/>
    </row>
    <row r="84">
      <c r="A84" s="38" t="n"/>
      <c r="B84" s="38" t="n"/>
      <c r="C84" s="38" t="n"/>
      <c r="D84" s="38" t="n"/>
      <c r="E84" s="38" t="n"/>
      <c r="F84" s="38" t="n"/>
      <c r="G84" s="38" t="n"/>
      <c r="H84" s="38" t="n"/>
      <c r="I84" s="38" t="n"/>
      <c r="J84" s="38" t="n"/>
      <c r="K84" s="38" t="n"/>
    </row>
    <row r="85">
      <c r="A85" s="38" t="n"/>
      <c r="B85" s="38" t="n"/>
      <c r="C85" s="38" t="n"/>
      <c r="D85" s="38" t="n"/>
      <c r="E85" s="38" t="n"/>
      <c r="F85" s="38" t="n"/>
      <c r="G85" s="38" t="n"/>
      <c r="H85" s="38" t="n"/>
      <c r="I85" s="38" t="n"/>
      <c r="J85" s="38" t="n"/>
      <c r="K85" s="38" t="n"/>
    </row>
    <row r="86">
      <c r="A86" s="38" t="n"/>
      <c r="B86" s="38" t="n"/>
      <c r="C86" s="38" t="n"/>
      <c r="D86" s="38" t="n"/>
      <c r="E86" s="38" t="n"/>
      <c r="F86" s="38" t="n"/>
      <c r="G86" s="38" t="n"/>
      <c r="H86" s="38" t="n"/>
      <c r="I86" s="38" t="n"/>
      <c r="J86" s="38" t="n"/>
      <c r="K86" s="38" t="n"/>
    </row>
    <row r="87">
      <c r="A87" s="38" t="n"/>
      <c r="B87" s="38" t="n"/>
      <c r="C87" s="38" t="n"/>
      <c r="D87" s="38" t="n"/>
      <c r="E87" s="38" t="n"/>
      <c r="F87" s="38" t="n"/>
      <c r="G87" s="38" t="n"/>
      <c r="H87" s="38" t="n"/>
      <c r="I87" s="38" t="n"/>
      <c r="J87" s="38" t="n"/>
      <c r="K87" s="38" t="n"/>
    </row>
    <row r="88">
      <c r="A88" s="38" t="n"/>
      <c r="B88" s="38" t="n"/>
      <c r="C88" s="38" t="n"/>
      <c r="D88" s="38" t="n"/>
      <c r="E88" s="38" t="n"/>
      <c r="F88" s="38" t="n"/>
      <c r="G88" s="38" t="n"/>
      <c r="H88" s="38" t="n"/>
      <c r="I88" s="38" t="n"/>
      <c r="J88" s="38" t="n"/>
      <c r="K88" s="38" t="n"/>
    </row>
    <row r="89">
      <c r="A89" s="38" t="n"/>
      <c r="B89" s="38" t="n"/>
      <c r="C89" s="38" t="n"/>
      <c r="D89" s="38" t="n"/>
      <c r="E89" s="38" t="n"/>
      <c r="F89" s="38" t="n"/>
      <c r="G89" s="38" t="n"/>
      <c r="H89" s="38" t="n"/>
      <c r="I89" s="38" t="n"/>
      <c r="J89" s="38" t="n"/>
      <c r="K89" s="38" t="n"/>
    </row>
    <row r="90">
      <c r="A90" s="38" t="n"/>
      <c r="B90" s="38" t="n"/>
      <c r="C90" s="38" t="n"/>
      <c r="D90" s="38" t="n"/>
      <c r="E90" s="38" t="n"/>
      <c r="F90" s="38" t="n"/>
      <c r="G90" s="38" t="n"/>
      <c r="H90" s="38" t="n"/>
      <c r="I90" s="38" t="n"/>
      <c r="J90" s="38" t="n"/>
      <c r="K90" s="38" t="n"/>
    </row>
    <row r="91">
      <c r="A91" s="38" t="n"/>
      <c r="B91" s="38" t="n"/>
      <c r="C91" s="38" t="n"/>
      <c r="D91" s="38" t="n"/>
      <c r="E91" s="38" t="n"/>
      <c r="F91" s="38" t="n"/>
      <c r="G91" s="38" t="n"/>
      <c r="H91" s="38" t="n"/>
      <c r="I91" s="38" t="n"/>
      <c r="J91" s="38" t="n"/>
      <c r="K91" s="38" t="n"/>
    </row>
    <row r="92">
      <c r="A92" s="38" t="n"/>
      <c r="B92" s="38" t="n"/>
      <c r="C92" s="38" t="n"/>
      <c r="D92" s="38" t="n"/>
      <c r="E92" s="38" t="n"/>
      <c r="F92" s="38" t="n"/>
      <c r="G92" s="38" t="n"/>
      <c r="H92" s="38" t="n"/>
      <c r="I92" s="38" t="n"/>
      <c r="J92" s="38" t="n"/>
      <c r="K92" s="38" t="n"/>
    </row>
    <row r="93">
      <c r="A93" s="38" t="n"/>
      <c r="B93" s="38" t="n"/>
      <c r="C93" s="38" t="n"/>
      <c r="D93" s="38" t="n"/>
      <c r="E93" s="38" t="n"/>
      <c r="F93" s="38" t="n"/>
      <c r="G93" s="38" t="n"/>
      <c r="H93" s="38" t="n"/>
      <c r="I93" s="38" t="n"/>
      <c r="J93" s="38" t="n"/>
      <c r="K93" s="38" t="n"/>
    </row>
    <row r="94">
      <c r="A94" s="38" t="n"/>
      <c r="B94" s="38" t="n"/>
      <c r="C94" s="38" t="n"/>
      <c r="D94" s="38" t="n"/>
      <c r="E94" s="38" t="n"/>
      <c r="F94" s="38" t="n"/>
      <c r="G94" s="38" t="n"/>
      <c r="H94" s="38" t="n"/>
      <c r="I94" s="38" t="n"/>
      <c r="J94" s="38" t="n"/>
      <c r="K94" s="38" t="n"/>
    </row>
    <row r="95">
      <c r="A95" s="38" t="n"/>
      <c r="B95" s="38" t="n"/>
      <c r="C95" s="38" t="n"/>
      <c r="D95" s="38" t="n"/>
      <c r="E95" s="38" t="n"/>
      <c r="F95" s="38" t="n"/>
      <c r="G95" s="38" t="n"/>
      <c r="H95" s="38" t="n"/>
      <c r="I95" s="38" t="n"/>
      <c r="J95" s="38" t="n"/>
      <c r="K95" s="38" t="n"/>
    </row>
    <row r="96">
      <c r="A96" s="38" t="n"/>
      <c r="B96" s="38" t="n"/>
      <c r="C96" s="38" t="n"/>
      <c r="D96" s="38" t="n"/>
      <c r="E96" s="38" t="n"/>
      <c r="F96" s="38" t="n"/>
      <c r="G96" s="38" t="n"/>
      <c r="H96" s="38" t="n"/>
      <c r="I96" s="38" t="n"/>
      <c r="J96" s="38" t="n"/>
      <c r="K96" s="38" t="n"/>
    </row>
    <row r="97">
      <c r="A97" s="38" t="n"/>
      <c r="B97" s="38" t="n"/>
      <c r="C97" s="38" t="n"/>
      <c r="D97" s="38" t="n"/>
      <c r="E97" s="38" t="n"/>
      <c r="F97" s="38" t="n"/>
      <c r="G97" s="38" t="n"/>
      <c r="H97" s="38" t="n"/>
      <c r="I97" s="38" t="n"/>
      <c r="J97" s="38" t="n"/>
      <c r="K97" s="38" t="n"/>
    </row>
    <row r="98">
      <c r="A98" s="38" t="n"/>
      <c r="B98" s="38" t="n"/>
      <c r="C98" s="38" t="n"/>
      <c r="D98" s="38" t="n"/>
      <c r="E98" s="38" t="n"/>
      <c r="F98" s="38" t="n"/>
      <c r="G98" s="38" t="n"/>
      <c r="H98" s="38" t="n"/>
      <c r="I98" s="38" t="n"/>
      <c r="J98" s="38" t="n"/>
      <c r="K98" s="38" t="n"/>
    </row>
    <row r="99">
      <c r="A99" s="38" t="n"/>
      <c r="B99" s="38" t="n"/>
      <c r="C99" s="38" t="n"/>
      <c r="D99" s="38" t="n"/>
      <c r="E99" s="38" t="n"/>
      <c r="F99" s="38" t="n"/>
      <c r="G99" s="38" t="n"/>
      <c r="H99" s="38" t="n"/>
      <c r="I99" s="38" t="n"/>
      <c r="J99" s="38" t="n"/>
      <c r="K99" s="38" t="n"/>
    </row>
    <row r="100">
      <c r="A100" s="38" t="n"/>
      <c r="B100" s="38" t="n"/>
      <c r="C100" s="38" t="n"/>
      <c r="D100" s="38" t="n"/>
      <c r="E100" s="38" t="n"/>
      <c r="F100" s="38" t="n"/>
      <c r="G100" s="38" t="n"/>
      <c r="H100" s="38" t="n"/>
      <c r="I100" s="38" t="n"/>
      <c r="J100" s="38" t="n"/>
      <c r="K100" s="38" t="n"/>
    </row>
    <row r="101">
      <c r="A101" s="38" t="n"/>
      <c r="B101" s="38" t="n"/>
      <c r="C101" s="38" t="n"/>
      <c r="D101" s="38" t="n"/>
      <c r="E101" s="38" t="n"/>
      <c r="F101" s="38" t="n"/>
      <c r="G101" s="38" t="n"/>
      <c r="H101" s="38" t="n"/>
      <c r="I101" s="38" t="n"/>
      <c r="J101" s="38" t="n"/>
      <c r="K101" s="38" t="n"/>
    </row>
    <row r="102">
      <c r="A102" s="38" t="n"/>
      <c r="B102" s="38" t="n"/>
      <c r="C102" s="38" t="n"/>
      <c r="D102" s="38" t="n"/>
      <c r="E102" s="38" t="n"/>
      <c r="F102" s="38" t="n"/>
      <c r="G102" s="38" t="n"/>
      <c r="H102" s="38" t="n"/>
      <c r="I102" s="38" t="n"/>
      <c r="J102" s="38" t="n"/>
      <c r="K102" s="38" t="n"/>
    </row>
    <row r="103">
      <c r="A103" s="38" t="n"/>
      <c r="B103" s="38" t="n"/>
      <c r="C103" s="38" t="n"/>
      <c r="D103" s="38" t="n"/>
      <c r="E103" s="38" t="n"/>
      <c r="F103" s="38" t="n"/>
      <c r="G103" s="38" t="n"/>
      <c r="H103" s="38" t="n"/>
      <c r="I103" s="38" t="n"/>
      <c r="J103" s="38" t="n"/>
      <c r="K103" s="38" t="n"/>
    </row>
    <row r="104">
      <c r="A104" s="38" t="n"/>
      <c r="B104" s="38" t="n"/>
      <c r="C104" s="38" t="n"/>
      <c r="D104" s="38" t="n"/>
      <c r="E104" s="38" t="n"/>
      <c r="F104" s="38" t="n"/>
      <c r="G104" s="38" t="n"/>
      <c r="H104" s="38" t="n"/>
      <c r="I104" s="38" t="n"/>
      <c r="J104" s="38" t="n"/>
      <c r="K104" s="38" t="n"/>
    </row>
    <row r="105">
      <c r="A105" s="38" t="n"/>
      <c r="B105" s="38" t="n"/>
      <c r="C105" s="38" t="n"/>
      <c r="D105" s="38" t="n"/>
      <c r="E105" s="38" t="n"/>
      <c r="F105" s="38" t="n"/>
      <c r="G105" s="38" t="n"/>
      <c r="H105" s="38" t="n"/>
      <c r="I105" s="38" t="n"/>
      <c r="J105" s="38" t="n"/>
      <c r="K105" s="38" t="n"/>
    </row>
    <row r="106">
      <c r="A106" s="38" t="n"/>
      <c r="B106" s="38" t="n"/>
      <c r="C106" s="38" t="n"/>
      <c r="D106" s="38" t="n"/>
      <c r="E106" s="38" t="n"/>
      <c r="F106" s="38" t="n"/>
      <c r="G106" s="38" t="n"/>
      <c r="H106" s="38" t="n"/>
      <c r="I106" s="38" t="n"/>
      <c r="J106" s="38" t="n"/>
      <c r="K106" s="38" t="n"/>
    </row>
    <row r="107">
      <c r="A107" s="38" t="n"/>
      <c r="B107" s="38" t="n"/>
      <c r="C107" s="38" t="n"/>
      <c r="D107" s="38" t="n"/>
      <c r="E107" s="38" t="n"/>
      <c r="F107" s="38" t="n"/>
      <c r="G107" s="38" t="n"/>
      <c r="H107" s="38" t="n"/>
      <c r="I107" s="38" t="n"/>
      <c r="J107" s="38" t="n"/>
      <c r="K107" s="38" t="n"/>
    </row>
    <row r="108">
      <c r="A108" s="38" t="n"/>
      <c r="B108" s="38" t="n"/>
      <c r="C108" s="38" t="n"/>
      <c r="D108" s="38" t="n"/>
      <c r="E108" s="38" t="n"/>
      <c r="F108" s="38" t="n"/>
      <c r="G108" s="38" t="n"/>
      <c r="H108" s="38" t="n"/>
      <c r="I108" s="38" t="n"/>
      <c r="J108" s="38" t="n"/>
      <c r="K108" s="38" t="n"/>
    </row>
    <row r="109">
      <c r="A109" s="38" t="n"/>
      <c r="B109" s="38" t="n"/>
      <c r="C109" s="38" t="n"/>
      <c r="D109" s="38" t="n"/>
      <c r="E109" s="38" t="n"/>
      <c r="F109" s="38" t="n"/>
      <c r="G109" s="38" t="n"/>
      <c r="H109" s="38" t="n"/>
      <c r="I109" s="38" t="n"/>
      <c r="J109" s="38" t="n"/>
      <c r="K109" s="38" t="n"/>
    </row>
    <row r="110">
      <c r="A110" s="38" t="n"/>
      <c r="B110" s="38" t="n"/>
      <c r="C110" s="38" t="n"/>
      <c r="D110" s="38" t="n"/>
      <c r="E110" s="38" t="n"/>
      <c r="F110" s="38" t="n"/>
      <c r="G110" s="38" t="n"/>
      <c r="H110" s="38" t="n"/>
      <c r="I110" s="38" t="n"/>
      <c r="J110" s="38" t="n"/>
      <c r="K110" s="38" t="n"/>
    </row>
    <row r="111">
      <c r="A111" s="38" t="n"/>
      <c r="B111" s="38" t="n"/>
      <c r="C111" s="38" t="n"/>
      <c r="D111" s="38" t="n"/>
      <c r="E111" s="38" t="n"/>
      <c r="F111" s="38" t="n"/>
      <c r="G111" s="38" t="n"/>
      <c r="H111" s="38" t="n"/>
      <c r="I111" s="38" t="n"/>
      <c r="J111" s="38" t="n"/>
      <c r="K111" s="38" t="n"/>
    </row>
    <row r="112">
      <c r="A112" s="38" t="n"/>
      <c r="B112" s="38" t="n"/>
      <c r="C112" s="38" t="n"/>
      <c r="D112" s="38" t="n"/>
      <c r="E112" s="38" t="n"/>
      <c r="F112" s="38" t="n"/>
      <c r="G112" s="38" t="n"/>
      <c r="H112" s="38" t="n"/>
      <c r="I112" s="38" t="n"/>
      <c r="J112" s="38" t="n"/>
      <c r="K112" s="38" t="n"/>
    </row>
    <row r="113">
      <c r="A113" s="38" t="n"/>
      <c r="B113" s="38" t="n"/>
      <c r="C113" s="38" t="n"/>
      <c r="D113" s="38" t="n"/>
      <c r="E113" s="38" t="n"/>
      <c r="F113" s="38" t="n"/>
      <c r="G113" s="38" t="n"/>
      <c r="H113" s="38" t="n"/>
      <c r="I113" s="38" t="n"/>
      <c r="J113" s="38" t="n"/>
      <c r="K113" s="38" t="n"/>
    </row>
    <row r="114">
      <c r="A114" s="38" t="n"/>
      <c r="B114" s="38" t="n"/>
      <c r="C114" s="38" t="n"/>
      <c r="D114" s="38" t="n"/>
      <c r="E114" s="38" t="n"/>
      <c r="F114" s="38" t="n"/>
      <c r="G114" s="38" t="n"/>
      <c r="H114" s="38" t="n"/>
      <c r="I114" s="38" t="n"/>
      <c r="J114" s="38" t="n"/>
      <c r="K114" s="38" t="n"/>
    </row>
    <row r="115">
      <c r="A115" s="38" t="n"/>
      <c r="B115" s="38" t="n"/>
      <c r="C115" s="38" t="n"/>
      <c r="D115" s="38" t="n"/>
      <c r="E115" s="38" t="n"/>
      <c r="F115" s="38" t="n"/>
      <c r="G115" s="38" t="n"/>
      <c r="H115" s="38" t="n"/>
      <c r="I115" s="38" t="n"/>
      <c r="J115" s="38" t="n"/>
      <c r="K115" s="38" t="n"/>
    </row>
    <row r="116">
      <c r="A116" s="38" t="n"/>
      <c r="B116" s="38" t="n"/>
      <c r="C116" s="38" t="n"/>
      <c r="D116" s="38" t="n"/>
      <c r="E116" s="38" t="n"/>
      <c r="F116" s="38" t="n"/>
      <c r="G116" s="38" t="n"/>
      <c r="H116" s="38" t="n"/>
      <c r="I116" s="38" t="n"/>
      <c r="J116" s="38" t="n"/>
      <c r="K116" s="38" t="n"/>
    </row>
    <row r="117">
      <c r="A117" s="38" t="n"/>
      <c r="B117" s="38" t="n"/>
      <c r="C117" s="38" t="n"/>
      <c r="D117" s="38" t="n"/>
      <c r="E117" s="38" t="n"/>
      <c r="F117" s="38" t="n"/>
      <c r="G117" s="38" t="n"/>
      <c r="H117" s="38" t="n"/>
      <c r="I117" s="38" t="n"/>
      <c r="J117" s="38" t="n"/>
      <c r="K117" s="38" t="n"/>
    </row>
    <row r="118">
      <c r="A118" s="38" t="n"/>
      <c r="B118" s="38" t="n"/>
      <c r="C118" s="38" t="n"/>
      <c r="D118" s="38" t="n"/>
      <c r="E118" s="38" t="n"/>
      <c r="F118" s="38" t="n"/>
      <c r="G118" s="38" t="n"/>
      <c r="H118" s="38" t="n"/>
      <c r="I118" s="38" t="n"/>
      <c r="J118" s="38" t="n"/>
      <c r="K118" s="38" t="n"/>
    </row>
    <row r="119">
      <c r="A119" s="38" t="n"/>
      <c r="B119" s="38" t="n"/>
      <c r="C119" s="38" t="n"/>
      <c r="D119" s="38" t="n"/>
      <c r="E119" s="38" t="n"/>
      <c r="F119" s="38" t="n"/>
      <c r="G119" s="38" t="n"/>
      <c r="H119" s="38" t="n"/>
      <c r="I119" s="38" t="n"/>
      <c r="J119" s="38" t="n"/>
      <c r="K119" s="38" t="n"/>
    </row>
    <row r="120">
      <c r="A120" s="38" t="n"/>
      <c r="B120" s="38" t="n"/>
      <c r="C120" s="38" t="n"/>
      <c r="D120" s="38" t="n"/>
      <c r="E120" s="38" t="n"/>
      <c r="F120" s="38" t="n"/>
      <c r="G120" s="38" t="n"/>
      <c r="H120" s="38" t="n"/>
      <c r="I120" s="38" t="n"/>
      <c r="J120" s="38" t="n"/>
      <c r="K120" s="38" t="n"/>
    </row>
    <row r="121">
      <c r="A121" s="38" t="n"/>
      <c r="B121" s="38" t="n"/>
      <c r="C121" s="38" t="n"/>
      <c r="D121" s="38" t="n"/>
      <c r="E121" s="38" t="n"/>
      <c r="F121" s="38" t="n"/>
      <c r="G121" s="38" t="n"/>
      <c r="H121" s="38" t="n"/>
      <c r="I121" s="38" t="n"/>
      <c r="J121" s="38" t="n"/>
      <c r="K121" s="38" t="n"/>
    </row>
    <row r="122">
      <c r="A122" s="38" t="n"/>
      <c r="B122" s="38" t="n"/>
      <c r="C122" s="38" t="n"/>
      <c r="D122" s="38" t="n"/>
      <c r="E122" s="38" t="n"/>
      <c r="F122" s="38" t="n"/>
      <c r="G122" s="38" t="n"/>
      <c r="H122" s="38" t="n"/>
      <c r="I122" s="38" t="n"/>
      <c r="J122" s="38" t="n"/>
      <c r="K122" s="38" t="n"/>
    </row>
    <row r="123">
      <c r="A123" s="38" t="n"/>
      <c r="B123" s="38" t="n"/>
      <c r="C123" s="38" t="n"/>
      <c r="D123" s="38" t="n"/>
      <c r="E123" s="38" t="n"/>
      <c r="F123" s="38" t="n"/>
      <c r="G123" s="38" t="n"/>
      <c r="H123" s="38" t="n"/>
      <c r="I123" s="38" t="n"/>
      <c r="J123" s="38" t="n"/>
      <c r="K123" s="38" t="n"/>
    </row>
    <row r="124">
      <c r="A124" s="38" t="n"/>
      <c r="B124" s="38" t="n"/>
      <c r="C124" s="38" t="n"/>
      <c r="D124" s="38" t="n"/>
      <c r="E124" s="38" t="n"/>
      <c r="F124" s="38" t="n"/>
      <c r="G124" s="38" t="n"/>
      <c r="H124" s="38" t="n"/>
      <c r="I124" s="38" t="n"/>
      <c r="J124" s="38" t="n"/>
      <c r="K124" s="38" t="n"/>
    </row>
    <row r="125">
      <c r="A125" s="38" t="n"/>
      <c r="B125" s="38" t="n"/>
      <c r="C125" s="38" t="n"/>
      <c r="D125" s="38" t="n"/>
      <c r="E125" s="38" t="n"/>
      <c r="F125" s="38" t="n"/>
      <c r="G125" s="38" t="n"/>
      <c r="H125" s="38" t="n"/>
      <c r="I125" s="38" t="n"/>
      <c r="J125" s="38" t="n"/>
      <c r="K125" s="38" t="n"/>
    </row>
    <row r="126">
      <c r="A126" s="38" t="n"/>
      <c r="B126" s="38" t="n"/>
      <c r="C126" s="38" t="n"/>
      <c r="D126" s="38" t="n"/>
      <c r="E126" s="38" t="n"/>
      <c r="F126" s="38" t="n"/>
      <c r="G126" s="38" t="n"/>
      <c r="H126" s="38" t="n"/>
      <c r="I126" s="38" t="n"/>
      <c r="J126" s="38" t="n"/>
      <c r="K126" s="38" t="n"/>
    </row>
    <row r="127">
      <c r="A127" s="38" t="n"/>
      <c r="B127" s="38" t="n"/>
      <c r="C127" s="38" t="n"/>
      <c r="D127" s="38" t="n"/>
      <c r="E127" s="38" t="n"/>
      <c r="F127" s="38" t="n"/>
      <c r="G127" s="38" t="n"/>
      <c r="H127" s="38" t="n"/>
      <c r="I127" s="38" t="n"/>
      <c r="J127" s="38" t="n"/>
      <c r="K127" s="38" t="n"/>
    </row>
    <row r="128">
      <c r="A128" s="38" t="n"/>
      <c r="B128" s="38" t="n"/>
      <c r="C128" s="38" t="n"/>
      <c r="D128" s="38" t="n"/>
      <c r="E128" s="38" t="n"/>
      <c r="F128" s="38" t="n"/>
      <c r="G128" s="38" t="n"/>
      <c r="H128" s="38" t="n"/>
      <c r="I128" s="38" t="n"/>
      <c r="J128" s="38" t="n"/>
      <c r="K128" s="38" t="n"/>
    </row>
    <row r="129">
      <c r="A129" s="38" t="n"/>
      <c r="B129" s="38" t="n"/>
      <c r="C129" s="38" t="n"/>
      <c r="D129" s="38" t="n"/>
      <c r="E129" s="38" t="n"/>
      <c r="F129" s="38" t="n"/>
      <c r="G129" s="38" t="n"/>
      <c r="H129" s="38" t="n"/>
      <c r="I129" s="38" t="n"/>
      <c r="J129" s="38" t="n"/>
      <c r="K129" s="38" t="n"/>
    </row>
  </sheetData>
  <mergeCells count="5">
    <mergeCell ref="A1:G1"/>
    <mergeCell ref="A4:G4"/>
    <mergeCell ref="A24:G24"/>
    <mergeCell ref="A2:G2"/>
    <mergeCell ref="A15:G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5803D"/>
    <outlinePr summaryBelow="1" summaryRight="1"/>
    <pageSetUpPr/>
  </sheetPr>
  <dimension ref="A1:K1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8" customWidth="1" min="3" max="3"/>
    <col width="55" customWidth="1" min="4" max="4"/>
    <col width="30" customWidth="1" min="5" max="5"/>
    <col width="15" customWidth="1" min="6" max="6"/>
  </cols>
  <sheetData>
    <row r="1" ht="32" customHeight="1">
      <c r="A1" s="179" t="inlineStr">
        <is>
          <t>✅  RECOMMENDATIONS — Decision Guide &amp; Best Practices</t>
        </is>
      </c>
      <c r="G1" s="38" t="n"/>
      <c r="H1" s="38" t="n"/>
      <c r="I1" s="38" t="n"/>
      <c r="J1" s="38" t="n"/>
      <c r="K1" s="38" t="n"/>
    </row>
    <row r="2" ht="22" customHeight="1">
      <c r="A2" s="180" t="inlineStr">
        <is>
          <t>Use this sheet to determine the right method, improve counting accuracy, and build a sustainable FP measurement practice in your organization.</t>
        </is>
      </c>
      <c r="G2" s="38" t="n"/>
      <c r="H2" s="38" t="n"/>
      <c r="I2" s="38" t="n"/>
      <c r="J2" s="38" t="n"/>
      <c r="K2" s="38" t="n"/>
    </row>
    <row r="3">
      <c r="A3" s="38" t="n"/>
      <c r="B3" s="38" t="n"/>
      <c r="C3" s="38" t="n"/>
      <c r="D3" s="38" t="n"/>
      <c r="E3" s="38" t="n"/>
      <c r="F3" s="38" t="n"/>
      <c r="G3" s="38" t="n"/>
      <c r="H3" s="38" t="n"/>
      <c r="I3" s="38" t="n"/>
      <c r="J3" s="38" t="n"/>
      <c r="K3" s="38" t="n"/>
    </row>
    <row r="4" ht="20" customHeight="1">
      <c r="A4" s="49" t="inlineStr">
        <is>
          <t>SECTION 1 — METHOD SELECTION DECISION MATRIX</t>
        </is>
      </c>
      <c r="G4" s="38" t="n"/>
      <c r="H4" s="38" t="n"/>
      <c r="I4" s="38" t="n"/>
      <c r="J4" s="38" t="n"/>
      <c r="K4" s="38" t="n"/>
    </row>
    <row r="5" ht="16" customHeight="1">
      <c r="A5" s="38" t="n"/>
      <c r="B5" s="167" t="inlineStr">
        <is>
          <t>#</t>
        </is>
      </c>
      <c r="C5" s="167" t="inlineStr">
        <is>
          <t>Scenario / Condition</t>
        </is>
      </c>
      <c r="D5" s="167" t="inlineStr">
        <is>
          <t>Recommended Method</t>
        </is>
      </c>
      <c r="E5" s="167" t="inlineStr">
        <is>
          <t>Rationale</t>
        </is>
      </c>
      <c r="F5" s="167" t="inlineStr">
        <is>
          <t>Confidence Level</t>
        </is>
      </c>
      <c r="G5" s="38" t="n"/>
      <c r="H5" s="38" t="n"/>
      <c r="I5" s="38" t="n"/>
      <c r="J5" s="38" t="n"/>
      <c r="K5" s="38" t="n"/>
    </row>
    <row r="6" ht="30" customHeight="1">
      <c r="A6" s="38" t="n"/>
      <c r="B6" s="181" t="inlineStr">
        <is>
          <t>D1</t>
        </is>
      </c>
      <c r="C6" s="181" t="inlineStr">
        <is>
          <t>Early feasibility / pre-RFP estimate (no detailed requirements)</t>
        </is>
      </c>
      <c r="D6" s="182" t="inlineStr">
        <is>
          <t>Simple FP (SFP)</t>
        </is>
      </c>
      <c r="E6" s="183" t="inlineStr">
        <is>
          <t>Fast, low-effort, defensible ballpark. Revisit when requirements are detailed.</t>
        </is>
      </c>
      <c r="F6" s="183" t="inlineStr">
        <is>
          <t>Medium-Low (±30%)</t>
        </is>
      </c>
      <c r="G6" s="38" t="n"/>
      <c r="H6" s="38" t="n"/>
      <c r="I6" s="38" t="n"/>
      <c r="J6" s="38" t="n"/>
      <c r="K6" s="38" t="n"/>
    </row>
    <row r="7" ht="30" customHeight="1">
      <c r="A7" s="38" t="n"/>
      <c r="B7" s="184" t="inlineStr">
        <is>
          <t>D2</t>
        </is>
      </c>
      <c r="C7" s="184" t="inlineStr">
        <is>
          <t>Agile sprint planning / backlog sizing</t>
        </is>
      </c>
      <c r="D7" s="185" t="inlineStr">
        <is>
          <t>Simple FP (SFP)</t>
        </is>
      </c>
      <c r="E7" s="158" t="inlineStr">
        <is>
          <t>SFP fits Agile rhythm. Count at story level. Update each sprint.</t>
        </is>
      </c>
      <c r="F7" s="158" t="inlineStr">
        <is>
          <t>Medium (±25%)</t>
        </is>
      </c>
      <c r="G7" s="38" t="n"/>
      <c r="H7" s="38" t="n"/>
      <c r="I7" s="38" t="n"/>
      <c r="J7" s="38" t="n"/>
      <c r="K7" s="38" t="n"/>
    </row>
    <row r="8" ht="30" customHeight="1">
      <c r="A8" s="38" t="n"/>
      <c r="B8" s="181" t="inlineStr">
        <is>
          <t>D3</t>
        </is>
      </c>
      <c r="C8" s="181" t="inlineStr">
        <is>
          <t>Fixed-price outsourcing contract baseline</t>
        </is>
      </c>
      <c r="D8" s="182" t="inlineStr">
        <is>
          <t>IFPUG FP (UFP)</t>
        </is>
      </c>
      <c r="E8" s="183" t="inlineStr">
        <is>
          <t>ISO 20926 certified. Auditable. Industry-recognized for commercial contracts.</t>
        </is>
      </c>
      <c r="F8" s="183" t="inlineStr">
        <is>
          <t>High (±15%)</t>
        </is>
      </c>
      <c r="G8" s="38" t="n"/>
      <c r="H8" s="38" t="n"/>
      <c r="I8" s="38" t="n"/>
      <c r="J8" s="38" t="n"/>
      <c r="K8" s="38" t="n"/>
    </row>
    <row r="9" ht="30" customHeight="1">
      <c r="A9" s="38" t="n"/>
      <c r="B9" s="184" t="inlineStr">
        <is>
          <t>D4</t>
        </is>
      </c>
      <c r="C9" s="184" t="inlineStr">
        <is>
          <t>Government / regulatory procurement</t>
        </is>
      </c>
      <c r="D9" s="185" t="inlineStr">
        <is>
          <t>IFPUG FP (UFP)</t>
        </is>
      </c>
      <c r="E9" s="158" t="inlineStr">
        <is>
          <t>Most government FP standards reference IFPUG. Required for some tenders.</t>
        </is>
      </c>
      <c r="F9" s="158" t="inlineStr">
        <is>
          <t>High (±12%)</t>
        </is>
      </c>
      <c r="G9" s="38" t="n"/>
      <c r="H9" s="38" t="n"/>
      <c r="I9" s="38" t="n"/>
      <c r="J9" s="38" t="n"/>
      <c r="K9" s="38" t="n"/>
    </row>
    <row r="10" ht="30" customHeight="1">
      <c r="A10" s="38" t="n"/>
      <c r="B10" s="181" t="inlineStr">
        <is>
          <t>D5</t>
        </is>
      </c>
      <c r="C10" s="181" t="inlineStr">
        <is>
          <t>Real-time / event-driven / IoT system</t>
        </is>
      </c>
      <c r="D10" s="182" t="inlineStr">
        <is>
          <t>COSMIC FP (CFP)</t>
        </is>
      </c>
      <c r="E10" s="183" t="inlineStr">
        <is>
          <t>Data movement model handles real-time paradigms. ISO 19761 certified.</t>
        </is>
      </c>
      <c r="F10" s="183" t="inlineStr">
        <is>
          <t>High (±15%)</t>
        </is>
      </c>
      <c r="G10" s="38" t="n"/>
      <c r="H10" s="38" t="n"/>
      <c r="I10" s="38" t="n"/>
      <c r="J10" s="38" t="n"/>
      <c r="K10" s="38" t="n"/>
    </row>
    <row r="11" ht="30" customHeight="1">
      <c r="A11" s="38" t="n"/>
      <c r="B11" s="184" t="inlineStr">
        <is>
          <t>D6</t>
        </is>
      </c>
      <c r="C11" s="184" t="inlineStr">
        <is>
          <t>Telecom / defense / aerospace / embedded</t>
        </is>
      </c>
      <c r="D11" s="185" t="inlineStr">
        <is>
          <t>COSMIC FP (CFP)</t>
        </is>
      </c>
      <c r="E11" s="158" t="inlineStr">
        <is>
          <t>COSMIC is the dominant standard in these sectors globally.</t>
        </is>
      </c>
      <c r="F11" s="158" t="inlineStr">
        <is>
          <t>High (±15%)</t>
        </is>
      </c>
      <c r="G11" s="38" t="n"/>
      <c r="H11" s="38" t="n"/>
      <c r="I11" s="38" t="n"/>
      <c r="J11" s="38" t="n"/>
      <c r="K11" s="38" t="n"/>
    </row>
    <row r="12" ht="30" customHeight="1">
      <c r="A12" s="38" t="n"/>
      <c r="B12" s="181" t="inlineStr">
        <is>
          <t>D7</t>
        </is>
      </c>
      <c r="C12" s="181" t="inlineStr">
        <is>
          <t>Microservices / API-first / cloud-native</t>
        </is>
      </c>
      <c r="D12" s="182" t="inlineStr">
        <is>
          <t>COSMIC FP (CFP)</t>
        </is>
      </c>
      <c r="E12" s="183" t="inlineStr">
        <is>
          <t>Each API endpoint maps to Entry/Exit. COSMIC handles distributed systems better.</t>
        </is>
      </c>
      <c r="F12" s="183" t="inlineStr">
        <is>
          <t>Medium-High (±18%)</t>
        </is>
      </c>
      <c r="G12" s="38" t="n"/>
      <c r="H12" s="38" t="n"/>
      <c r="I12" s="38" t="n"/>
      <c r="J12" s="38" t="n"/>
      <c r="K12" s="38" t="n"/>
    </row>
    <row r="13" ht="30" customHeight="1">
      <c r="A13" s="38" t="n"/>
      <c r="B13" s="184" t="inlineStr">
        <is>
          <t>D8</t>
        </is>
      </c>
      <c r="C13" s="184" t="inlineStr">
        <is>
          <t>SAP / Oracle ERP implementation</t>
        </is>
      </c>
      <c r="D13" s="185" t="inlineStr">
        <is>
          <t>IFPUG (RICEF) + Config Points</t>
        </is>
      </c>
      <c r="E13" s="158" t="inlineStr">
        <is>
          <t>Count RICEF in IFPUG UFP. Count config separately as Config Points.</t>
        </is>
      </c>
      <c r="F13" s="158" t="inlineStr">
        <is>
          <t>Medium (±20%)</t>
        </is>
      </c>
      <c r="G13" s="38" t="n"/>
      <c r="H13" s="38" t="n"/>
      <c r="I13" s="38" t="n"/>
      <c r="J13" s="38" t="n"/>
      <c r="K13" s="38" t="n"/>
    </row>
    <row r="14" ht="30" customHeight="1">
      <c r="A14" s="38" t="n"/>
      <c r="B14" s="181" t="inlineStr">
        <is>
          <t>D9</t>
        </is>
      </c>
      <c r="C14" s="181" t="inlineStr">
        <is>
          <t>Salesforce / Power Platform / Low-code</t>
        </is>
      </c>
      <c r="D14" s="182" t="inlineStr">
        <is>
          <t>SFP or IFPUG with 0.6× productivity</t>
        </is>
      </c>
      <c r="E14" s="183" t="inlineStr">
        <is>
          <t>FP counts the function but productivity rate must be drastically adjusted for low-code.</t>
        </is>
      </c>
      <c r="F14" s="183" t="inlineStr">
        <is>
          <t>Medium (±25%)</t>
        </is>
      </c>
      <c r="G14" s="38" t="n"/>
      <c r="H14" s="38" t="n"/>
      <c r="I14" s="38" t="n"/>
      <c r="J14" s="38" t="n"/>
      <c r="K14" s="38" t="n"/>
    </row>
    <row r="15" ht="30" customHeight="1">
      <c r="A15" s="38" t="n"/>
      <c r="B15" s="184" t="inlineStr">
        <is>
          <t>D10</t>
        </is>
      </c>
      <c r="C15" s="184" t="inlineStr">
        <is>
          <t>AI / ML / Data Science project</t>
        </is>
      </c>
      <c r="D15" s="185" t="inlineStr">
        <is>
          <t>SFP for wrapper + Story Points for ML</t>
        </is>
      </c>
      <c r="E15" s="158" t="inlineStr">
        <is>
          <t>FP counts API/UI wrapper only. ML pipeline sized by story points + expert judgment.</t>
        </is>
      </c>
      <c r="F15" s="158" t="inlineStr">
        <is>
          <t>Low-Medium (±30%)</t>
        </is>
      </c>
      <c r="G15" s="38" t="n"/>
      <c r="H15" s="38" t="n"/>
      <c r="I15" s="38" t="n"/>
      <c r="J15" s="38" t="n"/>
      <c r="K15" s="38" t="n"/>
    </row>
    <row r="16" ht="30" customHeight="1">
      <c r="A16" s="38" t="n"/>
      <c r="B16" s="181" t="inlineStr">
        <is>
          <t>D11</t>
        </is>
      </c>
      <c r="C16" s="181" t="inlineStr">
        <is>
          <t>Portfolio-level benchmarking (exec/board)</t>
        </is>
      </c>
      <c r="D16" s="182" t="inlineStr">
        <is>
          <t>IFPUG + Gartner Benchmarks</t>
        </is>
      </c>
      <c r="E16" s="183" t="inlineStr">
        <is>
          <t>IFPUG provides the size; Gartner provides the cost/effort industry comparison.</t>
        </is>
      </c>
      <c r="F16" s="183" t="inlineStr">
        <is>
          <t>Medium (±20%)</t>
        </is>
      </c>
      <c r="G16" s="38" t="n"/>
      <c r="H16" s="38" t="n"/>
      <c r="I16" s="38" t="n"/>
      <c r="J16" s="38" t="n"/>
      <c r="K16" s="38" t="n"/>
    </row>
    <row r="17" ht="30" customHeight="1">
      <c r="A17" s="38" t="n"/>
      <c r="B17" s="184" t="inlineStr">
        <is>
          <t>D12</t>
        </is>
      </c>
      <c r="C17" s="184" t="inlineStr">
        <is>
          <t>Legacy modernization / re-engineering</t>
        </is>
      </c>
      <c r="D17" s="185" t="inlineStr">
        <is>
          <t>IFPUG FP (UFP)</t>
        </is>
      </c>
      <c r="E17" s="158" t="inlineStr">
        <is>
          <t>Best handles complex legacy data structures and batch transaction types.</t>
        </is>
      </c>
      <c r="F17" s="158" t="inlineStr">
        <is>
          <t>Medium-High (±18%)</t>
        </is>
      </c>
      <c r="G17" s="38" t="n"/>
      <c r="H17" s="38" t="n"/>
      <c r="I17" s="38" t="n"/>
      <c r="J17" s="38" t="n"/>
      <c r="K17" s="38" t="n"/>
    </row>
    <row r="18" ht="30" customHeight="1">
      <c r="A18" s="38" t="n"/>
      <c r="B18" s="181" t="inlineStr">
        <is>
          <t>D13</t>
        </is>
      </c>
      <c r="C18" s="181" t="inlineStr">
        <is>
          <t>Team productivity measurement</t>
        </is>
      </c>
      <c r="D18" s="182" t="inlineStr">
        <is>
          <t>Any method — be consistent</t>
        </is>
      </c>
      <c r="E18" s="183" t="inlineStr">
        <is>
          <t>Consistency matters more than method choice for trending. Never change methods mid-program.</t>
        </is>
      </c>
      <c r="F18" s="183" t="inlineStr">
        <is>
          <t>High (if consistent)</t>
        </is>
      </c>
      <c r="G18" s="38" t="n"/>
      <c r="H18" s="38" t="n"/>
      <c r="I18" s="38" t="n"/>
      <c r="J18" s="38" t="n"/>
      <c r="K18" s="38" t="n"/>
    </row>
    <row r="19" ht="30" customHeight="1">
      <c r="A19" s="38" t="n"/>
      <c r="B19" s="184" t="inlineStr">
        <is>
          <t>D14</t>
        </is>
      </c>
      <c r="C19" s="184" t="inlineStr">
        <is>
          <t>SaaS product development</t>
        </is>
      </c>
      <c r="D19" s="185" t="inlineStr">
        <is>
          <t>IFPUG or SFP for custom features only</t>
        </is>
      </c>
      <c r="E19" s="158" t="inlineStr">
        <is>
          <t>Count only what your team builds; exclude standard SaaS platform features.</t>
        </is>
      </c>
      <c r="F19" s="158" t="inlineStr">
        <is>
          <t>Medium (±20%)</t>
        </is>
      </c>
      <c r="G19" s="38" t="n"/>
      <c r="H19" s="38" t="n"/>
      <c r="I19" s="38" t="n"/>
      <c r="J19" s="38" t="n"/>
      <c r="K19" s="38" t="n"/>
    </row>
    <row r="20" ht="30" customHeight="1">
      <c r="A20" s="38" t="n"/>
      <c r="B20" s="181" t="inlineStr">
        <is>
          <t>D15</t>
        </is>
      </c>
      <c r="C20" s="181" t="inlineStr">
        <is>
          <t>Data warehouse / BI / analytics platform</t>
        </is>
      </c>
      <c r="D20" s="182" t="inlineStr">
        <is>
          <t>IFPUG FP (UFP)</t>
        </is>
      </c>
      <c r="E20" s="183" t="inlineStr">
        <is>
          <t>ETL EIs, report EOs, and ILF data stores map reasonably well to IFPUG.</t>
        </is>
      </c>
      <c r="F20" s="183" t="inlineStr">
        <is>
          <t>Medium (±22%)</t>
        </is>
      </c>
      <c r="G20" s="38" t="n"/>
      <c r="H20" s="38" t="n"/>
      <c r="I20" s="38" t="n"/>
      <c r="J20" s="38" t="n"/>
      <c r="K20" s="38" t="n"/>
    </row>
    <row r="21">
      <c r="A21" s="38" t="n"/>
      <c r="B21" s="38" t="n"/>
      <c r="C21" s="38" t="n"/>
      <c r="D21" s="38" t="n"/>
      <c r="E21" s="38" t="n"/>
      <c r="F21" s="38" t="n"/>
      <c r="G21" s="38" t="n"/>
      <c r="H21" s="38" t="n"/>
      <c r="I21" s="38" t="n"/>
      <c r="J21" s="38" t="n"/>
      <c r="K21" s="38" t="n"/>
    </row>
    <row r="22" ht="20" customHeight="1">
      <c r="A22" s="43" t="inlineStr">
        <is>
          <t>SECTION 2 — BEST PRACTICES FOR ACCURATE FP ESTIMATION</t>
        </is>
      </c>
      <c r="G22" s="38" t="n"/>
      <c r="H22" s="38" t="n"/>
      <c r="I22" s="38" t="n"/>
      <c r="J22" s="38" t="n"/>
      <c r="K22" s="38" t="n"/>
    </row>
    <row r="23" ht="16" customHeight="1">
      <c r="A23" s="38" t="n"/>
      <c r="B23" s="137" t="inlineStr">
        <is>
          <t>#</t>
        </is>
      </c>
      <c r="C23" s="137" t="inlineStr">
        <is>
          <t>Practice</t>
        </is>
      </c>
      <c r="D23" s="137" t="inlineStr">
        <is>
          <t>What to Do</t>
        </is>
      </c>
      <c r="E23" s="137" t="inlineStr">
        <is>
          <t>Why It Matters</t>
        </is>
      </c>
      <c r="F23" s="137" t="inlineStr">
        <is>
          <t>Priority</t>
        </is>
      </c>
      <c r="G23" s="38" t="n"/>
      <c r="H23" s="38" t="n"/>
      <c r="I23" s="38" t="n"/>
      <c r="J23" s="38" t="n"/>
      <c r="K23" s="38" t="n"/>
    </row>
    <row r="24" ht="38" customHeight="1">
      <c r="A24" s="38" t="n"/>
      <c r="B24" s="159" t="inlineStr">
        <is>
          <t>P1</t>
        </is>
      </c>
      <c r="C24" s="159" t="inlineStr">
        <is>
          <t>Calibrate FIRST</t>
        </is>
      </c>
      <c r="D24" s="161" t="inlineStr">
        <is>
          <t>Before using any benchmark, collect data from 3–5 completed similar projects in your org. Calculate your own hrs/FP. Use that as your primary rate.</t>
        </is>
      </c>
      <c r="E24" s="161" t="inlineStr">
        <is>
          <t>Industry benchmarks are medians. Your org's rate can be 0.5×–3× the industry median based on team, tools, and domain.</t>
        </is>
      </c>
      <c r="F24" s="161" t="inlineStr">
        <is>
          <t>🔴 Critical</t>
        </is>
      </c>
      <c r="G24" s="38" t="n"/>
      <c r="H24" s="38" t="n"/>
      <c r="I24" s="38" t="n"/>
      <c r="J24" s="38" t="n"/>
      <c r="K24" s="38" t="n"/>
    </row>
    <row r="25" ht="38" customHeight="1">
      <c r="A25" s="38" t="n"/>
      <c r="B25" s="162" t="inlineStr">
        <is>
          <t>P2</t>
        </is>
      </c>
      <c r="C25" s="162" t="inlineStr">
        <is>
          <t>Use multiple methods for triangulation</t>
        </is>
      </c>
      <c r="D25" s="158" t="inlineStr">
        <is>
          <t>Count in SFP (quick) and IFPUG (detailed). If they differ by &gt;20%, investigate why. Use both to bracket the estimate.</t>
        </is>
      </c>
      <c r="E25" s="158" t="inlineStr">
        <is>
          <t>No single FP method is infallible. Agreement between methods increases confidence.</t>
        </is>
      </c>
      <c r="F25" s="158" t="inlineStr">
        <is>
          <t>🔴 Critical</t>
        </is>
      </c>
      <c r="G25" s="38" t="n"/>
      <c r="H25" s="38" t="n"/>
      <c r="I25" s="38" t="n"/>
      <c r="J25" s="38" t="n"/>
      <c r="K25" s="38" t="n"/>
    </row>
    <row r="26" ht="38" customHeight="1">
      <c r="A26" s="38" t="n"/>
      <c r="B26" s="159" t="inlineStr">
        <is>
          <t>P3</t>
        </is>
      </c>
      <c r="C26" s="159" t="inlineStr">
        <is>
          <t>Document every counting decision</t>
        </is>
      </c>
      <c r="D26" s="161" t="inlineStr">
        <is>
          <t>For each ambiguous function, record: what you counted, why, and what you excluded. Save as a 'Counting Log'.</t>
        </is>
      </c>
      <c r="E26" s="161" t="inlineStr">
        <is>
          <t>When scope disputes arise (and they will), documented decisions are your audit trail.</t>
        </is>
      </c>
      <c r="F26" s="161" t="inlineStr">
        <is>
          <t>🔴 Critical</t>
        </is>
      </c>
      <c r="G26" s="38" t="n"/>
      <c r="H26" s="38" t="n"/>
      <c r="I26" s="38" t="n"/>
      <c r="J26" s="38" t="n"/>
      <c r="K26" s="38" t="n"/>
    </row>
    <row r="27" ht="38" customHeight="1">
      <c r="A27" s="38" t="n"/>
      <c r="B27" s="162" t="inlineStr">
        <is>
          <t>P4</t>
        </is>
      </c>
      <c r="C27" s="162" t="inlineStr">
        <is>
          <t>Recount at requirements baseline</t>
        </is>
      </c>
      <c r="D27" s="158" t="inlineStr">
        <is>
          <t>Always do an initial SFP count at start, then a formal IFPUG count once requirements are documented. Never use early SFP for contracts.</t>
        </is>
      </c>
      <c r="E27" s="158" t="inlineStr">
        <is>
          <t>Early SFP is ±30% accurate. Contract-grade IFPUG requires detailed requirements.</t>
        </is>
      </c>
      <c r="F27" s="158" t="inlineStr">
        <is>
          <t>🔴 Critical</t>
        </is>
      </c>
      <c r="G27" s="38" t="n"/>
      <c r="H27" s="38" t="n"/>
      <c r="I27" s="38" t="n"/>
      <c r="J27" s="38" t="n"/>
      <c r="K27" s="38" t="n"/>
    </row>
    <row r="28" ht="38" customHeight="1">
      <c r="A28" s="38" t="n"/>
      <c r="B28" s="159" t="inlineStr">
        <is>
          <t>P5</t>
        </is>
      </c>
      <c r="C28" s="159" t="inlineStr">
        <is>
          <t>Apply regulatory multipliers explicitly</t>
        </is>
      </c>
      <c r="D28" s="161" t="inlineStr">
        <is>
          <t>If project is in banking, healthcare, or government: apply a 1.25×–1.50× multiplier to standard productivity rates. Document the multiplier.</t>
        </is>
      </c>
      <c r="E28" s="161" t="inlineStr">
        <is>
          <t>Regulatory compliance (audit trails, validation, security) adds 25–50% effort not visible in FP count.</t>
        </is>
      </c>
      <c r="F28" s="161" t="inlineStr">
        <is>
          <t>🟠 High</t>
        </is>
      </c>
      <c r="G28" s="38" t="n"/>
      <c r="H28" s="38" t="n"/>
      <c r="I28" s="38" t="n"/>
      <c r="J28" s="38" t="n"/>
      <c r="K28" s="38" t="n"/>
    </row>
    <row r="29" ht="38" customHeight="1">
      <c r="A29" s="38" t="n"/>
      <c r="B29" s="162" t="inlineStr">
        <is>
          <t>P6</t>
        </is>
      </c>
      <c r="C29" s="162" t="inlineStr">
        <is>
          <t>Track actual vs. estimated FP</t>
        </is>
      </c>
      <c r="D29" s="158" t="inlineStr">
        <is>
          <t>At project completion, record: estimated FP, actual FP at completion, estimated hrs/FP, actual hrs/FP. Add to your calibration database.</t>
        </is>
      </c>
      <c r="E29" s="158" t="inlineStr">
        <is>
          <t>Continuous improvement. After 5 projects, your calibrated rate will be significantly more accurate than any benchmark.</t>
        </is>
      </c>
      <c r="F29" s="158" t="inlineStr">
        <is>
          <t>🟠 High</t>
        </is>
      </c>
      <c r="G29" s="38" t="n"/>
      <c r="H29" s="38" t="n"/>
      <c r="I29" s="38" t="n"/>
      <c r="J29" s="38" t="n"/>
      <c r="K29" s="38" t="n"/>
    </row>
    <row r="30" ht="38" customHeight="1">
      <c r="A30" s="38" t="n"/>
      <c r="B30" s="159" t="inlineStr">
        <is>
          <t>P7</t>
        </is>
      </c>
      <c r="C30" s="159" t="inlineStr">
        <is>
          <t>Separate FP size from effort estimate</t>
        </is>
      </c>
      <c r="D30" s="161" t="inlineStr">
        <is>
          <t>Report FP size and productivity rate as separate numbers. Do not present only the final hour estimate.</t>
        </is>
      </c>
      <c r="E30" s="161" t="inlineStr">
        <is>
          <t>When the productivity rate is visible, stakeholders can challenge the rate separately from the size. This improves governance.</t>
        </is>
      </c>
      <c r="F30" s="161" t="inlineStr">
        <is>
          <t>🟠 High</t>
        </is>
      </c>
      <c r="G30" s="38" t="n"/>
      <c r="H30" s="38" t="n"/>
      <c r="I30" s="38" t="n"/>
      <c r="J30" s="38" t="n"/>
      <c r="K30" s="38" t="n"/>
    </row>
    <row r="31" ht="38" customHeight="1">
      <c r="A31" s="38" t="n"/>
      <c r="B31" s="162" t="inlineStr">
        <is>
          <t>P8</t>
        </is>
      </c>
      <c r="C31" s="162" t="inlineStr">
        <is>
          <t>Use Config Points for ERP — always</t>
        </is>
      </c>
      <c r="D31" s="158" t="inlineStr">
        <is>
          <t>Never apply pure IFPUG to ERP projects. Always use Config Points for the configuration layer. Present both layers in your estimate.</t>
        </is>
      </c>
      <c r="E31" s="158" t="inlineStr">
        <is>
          <t>Pure IFPUG misses 40–65% of ERP project effort. This is the #1 cause of ERP project budget overruns.</t>
        </is>
      </c>
      <c r="F31" s="158" t="inlineStr">
        <is>
          <t>🟠 High</t>
        </is>
      </c>
      <c r="G31" s="38" t="n"/>
      <c r="H31" s="38" t="n"/>
      <c r="I31" s="38" t="n"/>
      <c r="J31" s="38" t="n"/>
      <c r="K31" s="38" t="n"/>
    </row>
    <row r="32" ht="38" customHeight="1">
      <c r="A32" s="38" t="n"/>
      <c r="B32" s="159" t="inlineStr">
        <is>
          <t>P9</t>
        </is>
      </c>
      <c r="C32" s="159" t="inlineStr">
        <is>
          <t>Apply AI coding productivity adjustment</t>
        </is>
      </c>
      <c r="D32" s="161" t="inlineStr">
        <is>
          <t>For teams using GitHub Copilot, Cursor, or similar AI coding tools: reduce productivity rate (hrs/FP) by 20–35%. Document the assumption.</t>
        </is>
      </c>
      <c r="E32" s="161" t="inlineStr">
        <is>
          <t>AI assistants measurably improve coding productivity. Using 2022 benchmarks without adjustment will overestimate effort.</t>
        </is>
      </c>
      <c r="F32" s="161" t="inlineStr">
        <is>
          <t>🟡 Medium</t>
        </is>
      </c>
      <c r="G32" s="38" t="n"/>
      <c r="H32" s="38" t="n"/>
      <c r="I32" s="38" t="n"/>
      <c r="J32" s="38" t="n"/>
      <c r="K32" s="38" t="n"/>
    </row>
    <row r="33" ht="38" customHeight="1">
      <c r="A33" s="38" t="n"/>
      <c r="B33" s="162" t="inlineStr">
        <is>
          <t>P10</t>
        </is>
      </c>
      <c r="C33" s="162" t="inlineStr">
        <is>
          <t>Train at least one analyst per project</t>
        </is>
      </c>
      <c r="D33" s="158" t="inlineStr">
        <is>
          <t>Send at least one team member to IFPUG CFPS training or COSMIC Practitioner workshop before counting for contracts.</t>
        </is>
      </c>
      <c r="E33" s="158" t="inlineStr">
        <is>
          <t>Uncertified counting introduces 20–30% error. For a ₹10 Crore contract, that's ₹2–3 Crore of exposure.</t>
        </is>
      </c>
      <c r="F33" s="158" t="inlineStr">
        <is>
          <t>🟡 Medium</t>
        </is>
      </c>
      <c r="G33" s="38" t="n"/>
      <c r="H33" s="38" t="n"/>
      <c r="I33" s="38" t="n"/>
      <c r="J33" s="38" t="n"/>
      <c r="K33" s="38" t="n"/>
    </row>
    <row r="34" ht="38" customHeight="1">
      <c r="A34" s="38" t="n"/>
      <c r="B34" s="159" t="inlineStr">
        <is>
          <t>P11</t>
        </is>
      </c>
      <c r="C34" s="159" t="inlineStr">
        <is>
          <t>Use FP for scope change control</t>
        </is>
      </c>
      <c r="D34" s="161" t="inlineStr">
        <is>
          <t>Establish an FP baseline at contract start. Every change request must include a delta FP count. Charge change requests based on delta FP × agreed rate.</t>
        </is>
      </c>
      <c r="E34" s="161" t="inlineStr">
        <is>
          <t>FP-based change control prevents gold-plating and provides objective basis for change pricing.</t>
        </is>
      </c>
      <c r="F34" s="161" t="inlineStr">
        <is>
          <t>🟡 Medium</t>
        </is>
      </c>
      <c r="G34" s="38" t="n"/>
      <c r="H34" s="38" t="n"/>
      <c r="I34" s="38" t="n"/>
      <c r="J34" s="38" t="n"/>
      <c r="K34" s="38" t="n"/>
    </row>
    <row r="35" ht="38" customHeight="1">
      <c r="A35" s="38" t="n"/>
      <c r="B35" s="162" t="inlineStr">
        <is>
          <t>P12</t>
        </is>
      </c>
      <c r="C35" s="162" t="inlineStr">
        <is>
          <t>Review benchmarks annually</t>
        </is>
      </c>
      <c r="D35" s="158" t="inlineStr">
        <is>
          <t>Technology productivity changes. Review and update your benchmark table at least once a year. Specifically check for AI tooling impact.</t>
        </is>
      </c>
      <c r="E35" s="158" t="inlineStr">
        <is>
          <t>Using 3-year-old benchmarks in a fast-moving stack (React, cloud-native, AI) can be significantly off.</t>
        </is>
      </c>
      <c r="F35" s="158" t="inlineStr">
        <is>
          <t>🟢 Good Practice</t>
        </is>
      </c>
      <c r="G35" s="38" t="n"/>
      <c r="H35" s="38" t="n"/>
      <c r="I35" s="38" t="n"/>
      <c r="J35" s="38" t="n"/>
      <c r="K35" s="38" t="n"/>
    </row>
    <row r="36">
      <c r="A36" s="38" t="n"/>
      <c r="B36" s="38" t="n"/>
      <c r="C36" s="38" t="n"/>
      <c r="D36" s="38" t="n"/>
      <c r="E36" s="38" t="n"/>
      <c r="F36" s="38" t="n"/>
      <c r="G36" s="38" t="n"/>
      <c r="H36" s="38" t="n"/>
      <c r="I36" s="38" t="n"/>
      <c r="J36" s="38" t="n"/>
      <c r="K36" s="38" t="n"/>
    </row>
    <row r="37">
      <c r="A37" s="38" t="n"/>
      <c r="B37" s="38" t="n"/>
      <c r="C37" s="38" t="n"/>
      <c r="D37" s="38" t="n"/>
      <c r="E37" s="38" t="n"/>
      <c r="F37" s="38" t="n"/>
      <c r="G37" s="38" t="n"/>
      <c r="H37" s="38" t="n"/>
      <c r="I37" s="38" t="n"/>
      <c r="J37" s="38" t="n"/>
      <c r="K37" s="38" t="n"/>
    </row>
    <row r="38" ht="20" customHeight="1">
      <c r="A38" s="45" t="inlineStr">
        <is>
          <t>SECTION 3 — MATURITY ROADMAP: Building an FP Measurement Practice</t>
        </is>
      </c>
      <c r="G38" s="38" t="n"/>
      <c r="H38" s="38" t="n"/>
      <c r="I38" s="38" t="n"/>
      <c r="J38" s="38" t="n"/>
      <c r="K38" s="38" t="n"/>
    </row>
    <row r="39" ht="16" customHeight="1">
      <c r="A39" s="38" t="n"/>
      <c r="B39" s="86" t="inlineStr">
        <is>
          <t>Level</t>
        </is>
      </c>
      <c r="C39" s="86" t="inlineStr">
        <is>
          <t>Maturity Stage</t>
        </is>
      </c>
      <c r="D39" s="86" t="inlineStr">
        <is>
          <t>Capability</t>
        </is>
      </c>
      <c r="E39" s="86" t="inlineStr">
        <is>
          <t>Actions to Reach Next Level</t>
        </is>
      </c>
      <c r="F39" s="86" t="inlineStr">
        <is>
          <t>Timeline</t>
        </is>
      </c>
      <c r="G39" s="38" t="n"/>
      <c r="H39" s="38" t="n"/>
      <c r="I39" s="38" t="n"/>
      <c r="J39" s="38" t="n"/>
      <c r="K39" s="38" t="n"/>
    </row>
    <row r="40" ht="38" customHeight="1">
      <c r="A40" s="38" t="n"/>
      <c r="B40" s="163" t="inlineStr">
        <is>
          <t>L1</t>
        </is>
      </c>
      <c r="C40" s="163" t="inlineStr">
        <is>
          <t>Ad Hoc</t>
        </is>
      </c>
      <c r="D40" s="165" t="inlineStr">
        <is>
          <t>No consistent method. Estimates based on gut feel or LOC.</t>
        </is>
      </c>
      <c r="E40" s="165" t="inlineStr">
        <is>
          <t>Adopt SFP for all new projects. Train 2 BAs on SFP counting rules. Create template spreadsheet.</t>
        </is>
      </c>
      <c r="F40" s="165" t="inlineStr">
        <is>
          <t>0–3 months</t>
        </is>
      </c>
      <c r="G40" s="38" t="n"/>
      <c r="H40" s="38" t="n"/>
      <c r="I40" s="38" t="n"/>
      <c r="J40" s="38" t="n"/>
      <c r="K40" s="38" t="n"/>
    </row>
    <row r="41" ht="38" customHeight="1">
      <c r="A41" s="38" t="n"/>
      <c r="B41" s="166" t="inlineStr">
        <is>
          <t>L2</t>
        </is>
      </c>
      <c r="C41" s="166" t="inlineStr">
        <is>
          <t>Repeatable</t>
        </is>
      </c>
      <c r="D41" s="158" t="inlineStr">
        <is>
          <t>SFP used consistently. Estimates tracked. No calibration yet.</t>
        </is>
      </c>
      <c r="E41" s="158" t="inlineStr">
        <is>
          <t>Collect actuals from 3 completed projects. Calculate your avg hrs/SFP. Compare to ISBSG median.</t>
        </is>
      </c>
      <c r="F41" s="158" t="inlineStr">
        <is>
          <t>3–9 months</t>
        </is>
      </c>
      <c r="G41" s="38" t="n"/>
      <c r="H41" s="38" t="n"/>
      <c r="I41" s="38" t="n"/>
      <c r="J41" s="38" t="n"/>
      <c r="K41" s="38" t="n"/>
    </row>
    <row r="42" ht="38" customHeight="1">
      <c r="A42" s="38" t="n"/>
      <c r="B42" s="163" t="inlineStr">
        <is>
          <t>L3</t>
        </is>
      </c>
      <c r="C42" s="163" t="inlineStr">
        <is>
          <t>Defined</t>
        </is>
      </c>
      <c r="D42" s="165" t="inlineStr">
        <is>
          <t>Calibrated SFP rates. IFPUG used for contracts. Counting rules documented.</t>
        </is>
      </c>
      <c r="E42" s="165" t="inlineStr">
        <is>
          <t>Certify 1 analyst as CFPS. Establish FP register. Implement delta FP for change control.</t>
        </is>
      </c>
      <c r="F42" s="165" t="inlineStr">
        <is>
          <t>9–18 months</t>
        </is>
      </c>
      <c r="G42" s="38" t="n"/>
      <c r="H42" s="38" t="n"/>
      <c r="I42" s="38" t="n"/>
      <c r="J42" s="38" t="n"/>
      <c r="K42" s="38" t="n"/>
    </row>
    <row r="43" ht="38" customHeight="1">
      <c r="A43" s="38" t="n"/>
      <c r="B43" s="166" t="inlineStr">
        <is>
          <t>L4</t>
        </is>
      </c>
      <c r="C43" s="166" t="inlineStr">
        <is>
          <t>Managed</t>
        </is>
      </c>
      <c r="D43" s="158" t="inlineStr">
        <is>
          <t>Both SFP and IFPUG in use. Calibrated by domain. Change control via FP.</t>
        </is>
      </c>
      <c r="E43" s="158" t="inlineStr">
        <is>
          <t>Add COSMIC for real-time projects. Build 10-project historical database. Subscribe to ISBSG.</t>
        </is>
      </c>
      <c r="F43" s="158" t="inlineStr">
        <is>
          <t>18–30 months</t>
        </is>
      </c>
      <c r="G43" s="38" t="n"/>
      <c r="H43" s="38" t="n"/>
      <c r="I43" s="38" t="n"/>
      <c r="J43" s="38" t="n"/>
      <c r="K43" s="38" t="n"/>
    </row>
    <row r="44" ht="38" customHeight="1">
      <c r="A44" s="38" t="n"/>
      <c r="B44" s="163" t="inlineStr">
        <is>
          <t>L5</t>
        </is>
      </c>
      <c r="C44" s="163" t="inlineStr">
        <is>
          <t>Optimising</t>
        </is>
      </c>
      <c r="D44" s="165" t="inlineStr">
        <is>
          <t>Full multi-method practice. Gartner benchmarks. Continuous calibration.</t>
        </is>
      </c>
      <c r="E44" s="165" t="inlineStr">
        <is>
          <t>Automate FP tracking in PPM tools. Publish internal benchmarks. Mentor other project teams.</t>
        </is>
      </c>
      <c r="F44" s="165" t="inlineStr">
        <is>
          <t>30+ months</t>
        </is>
      </c>
      <c r="G44" s="38" t="n"/>
      <c r="H44" s="38" t="n"/>
      <c r="I44" s="38" t="n"/>
      <c r="J44" s="38" t="n"/>
      <c r="K44" s="38" t="n"/>
    </row>
    <row r="45">
      <c r="A45" s="38" t="n"/>
      <c r="B45" s="38" t="n"/>
      <c r="C45" s="38" t="n"/>
      <c r="D45" s="38" t="n"/>
      <c r="E45" s="38" t="n"/>
      <c r="F45" s="38" t="n"/>
      <c r="G45" s="38" t="n"/>
      <c r="H45" s="38" t="n"/>
      <c r="I45" s="38" t="n"/>
      <c r="J45" s="38" t="n"/>
      <c r="K45" s="38" t="n"/>
    </row>
    <row r="46">
      <c r="A46" s="38" t="n"/>
      <c r="B46" s="38" t="n"/>
      <c r="C46" s="38" t="n"/>
      <c r="D46" s="38" t="n"/>
      <c r="E46" s="38" t="n"/>
      <c r="F46" s="38" t="n"/>
      <c r="G46" s="38" t="n"/>
      <c r="H46" s="38" t="n"/>
      <c r="I46" s="38" t="n"/>
      <c r="J46" s="38" t="n"/>
      <c r="K46" s="38" t="n"/>
    </row>
    <row r="47">
      <c r="A47" s="38" t="n"/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</row>
    <row r="48">
      <c r="A48" s="38" t="n"/>
      <c r="B48" s="38" t="n"/>
      <c r="C48" s="38" t="n"/>
      <c r="D48" s="38" t="n"/>
      <c r="E48" s="38" t="n"/>
      <c r="F48" s="38" t="n"/>
      <c r="G48" s="38" t="n"/>
      <c r="H48" s="38" t="n"/>
      <c r="I48" s="38" t="n"/>
      <c r="J48" s="38" t="n"/>
      <c r="K48" s="38" t="n"/>
    </row>
    <row r="49">
      <c r="A49" s="38" t="n"/>
      <c r="B49" s="38" t="n"/>
      <c r="C49" s="38" t="n"/>
      <c r="D49" s="38" t="n"/>
      <c r="E49" s="38" t="n"/>
      <c r="F49" s="38" t="n"/>
      <c r="G49" s="38" t="n"/>
      <c r="H49" s="38" t="n"/>
      <c r="I49" s="38" t="n"/>
      <c r="J49" s="38" t="n"/>
      <c r="K49" s="38" t="n"/>
    </row>
    <row r="50">
      <c r="A50" s="38" t="n"/>
      <c r="B50" s="38" t="n"/>
      <c r="C50" s="38" t="n"/>
      <c r="D50" s="38" t="n"/>
      <c r="E50" s="38" t="n"/>
      <c r="F50" s="38" t="n"/>
      <c r="G50" s="38" t="n"/>
      <c r="H50" s="38" t="n"/>
      <c r="I50" s="38" t="n"/>
      <c r="J50" s="38" t="n"/>
      <c r="K50" s="38" t="n"/>
    </row>
    <row r="51">
      <c r="A51" s="38" t="n"/>
      <c r="B51" s="38" t="n"/>
      <c r="C51" s="38" t="n"/>
      <c r="D51" s="38" t="n"/>
      <c r="E51" s="38" t="n"/>
      <c r="F51" s="38" t="n"/>
      <c r="G51" s="38" t="n"/>
      <c r="H51" s="38" t="n"/>
      <c r="I51" s="38" t="n"/>
      <c r="J51" s="38" t="n"/>
      <c r="K51" s="38" t="n"/>
    </row>
    <row r="52">
      <c r="A52" s="38" t="n"/>
      <c r="B52" s="38" t="n"/>
      <c r="C52" s="38" t="n"/>
      <c r="D52" s="38" t="n"/>
      <c r="E52" s="38" t="n"/>
      <c r="F52" s="38" t="n"/>
      <c r="G52" s="38" t="n"/>
      <c r="H52" s="38" t="n"/>
      <c r="I52" s="38" t="n"/>
      <c r="J52" s="38" t="n"/>
      <c r="K52" s="38" t="n"/>
    </row>
    <row r="53">
      <c r="A53" s="38" t="n"/>
      <c r="B53" s="38" t="n"/>
      <c r="C53" s="38" t="n"/>
      <c r="D53" s="38" t="n"/>
      <c r="E53" s="38" t="n"/>
      <c r="F53" s="38" t="n"/>
      <c r="G53" s="38" t="n"/>
      <c r="H53" s="38" t="n"/>
      <c r="I53" s="38" t="n"/>
      <c r="J53" s="38" t="n"/>
      <c r="K53" s="38" t="n"/>
    </row>
    <row r="54">
      <c r="A54" s="38" t="n"/>
      <c r="B54" s="38" t="n"/>
      <c r="C54" s="38" t="n"/>
      <c r="D54" s="38" t="n"/>
      <c r="E54" s="38" t="n"/>
      <c r="F54" s="38" t="n"/>
      <c r="G54" s="38" t="n"/>
      <c r="H54" s="38" t="n"/>
      <c r="I54" s="38" t="n"/>
      <c r="J54" s="38" t="n"/>
      <c r="K54" s="38" t="n"/>
    </row>
    <row r="55">
      <c r="A55" s="38" t="n"/>
      <c r="B55" s="38" t="n"/>
      <c r="C55" s="38" t="n"/>
      <c r="D55" s="38" t="n"/>
      <c r="E55" s="38" t="n"/>
      <c r="F55" s="38" t="n"/>
      <c r="G55" s="38" t="n"/>
      <c r="H55" s="38" t="n"/>
      <c r="I55" s="38" t="n"/>
      <c r="J55" s="38" t="n"/>
      <c r="K55" s="38" t="n"/>
    </row>
    <row r="56">
      <c r="A56" s="38" t="n"/>
      <c r="B56" s="38" t="n"/>
      <c r="C56" s="38" t="n"/>
      <c r="D56" s="38" t="n"/>
      <c r="E56" s="38" t="n"/>
      <c r="F56" s="38" t="n"/>
      <c r="G56" s="38" t="n"/>
      <c r="H56" s="38" t="n"/>
      <c r="I56" s="38" t="n"/>
      <c r="J56" s="38" t="n"/>
      <c r="K56" s="38" t="n"/>
    </row>
    <row r="57">
      <c r="A57" s="38" t="n"/>
      <c r="B57" s="38" t="n"/>
      <c r="C57" s="38" t="n"/>
      <c r="D57" s="38" t="n"/>
      <c r="E57" s="38" t="n"/>
      <c r="F57" s="38" t="n"/>
      <c r="G57" s="38" t="n"/>
      <c r="H57" s="38" t="n"/>
      <c r="I57" s="38" t="n"/>
      <c r="J57" s="38" t="n"/>
      <c r="K57" s="38" t="n"/>
    </row>
    <row r="58">
      <c r="A58" s="38" t="n"/>
      <c r="B58" s="38" t="n"/>
      <c r="C58" s="38" t="n"/>
      <c r="D58" s="38" t="n"/>
      <c r="E58" s="38" t="n"/>
      <c r="F58" s="38" t="n"/>
      <c r="G58" s="38" t="n"/>
      <c r="H58" s="38" t="n"/>
      <c r="I58" s="38" t="n"/>
      <c r="J58" s="38" t="n"/>
      <c r="K58" s="38" t="n"/>
    </row>
    <row r="59">
      <c r="A59" s="38" t="n"/>
      <c r="B59" s="38" t="n"/>
      <c r="C59" s="38" t="n"/>
      <c r="D59" s="38" t="n"/>
      <c r="E59" s="38" t="n"/>
      <c r="F59" s="38" t="n"/>
      <c r="G59" s="38" t="n"/>
      <c r="H59" s="38" t="n"/>
      <c r="I59" s="38" t="n"/>
      <c r="J59" s="38" t="n"/>
      <c r="K59" s="38" t="n"/>
    </row>
    <row r="60">
      <c r="A60" s="38" t="n"/>
      <c r="B60" s="38" t="n"/>
      <c r="C60" s="38" t="n"/>
      <c r="D60" s="38" t="n"/>
      <c r="E60" s="38" t="n"/>
      <c r="F60" s="38" t="n"/>
      <c r="G60" s="38" t="n"/>
      <c r="H60" s="38" t="n"/>
      <c r="I60" s="38" t="n"/>
      <c r="J60" s="38" t="n"/>
      <c r="K60" s="38" t="n"/>
    </row>
    <row r="61">
      <c r="A61" s="38" t="n"/>
      <c r="B61" s="38" t="n"/>
      <c r="C61" s="38" t="n"/>
      <c r="D61" s="38" t="n"/>
      <c r="E61" s="38" t="n"/>
      <c r="F61" s="38" t="n"/>
      <c r="G61" s="38" t="n"/>
      <c r="H61" s="38" t="n"/>
      <c r="I61" s="38" t="n"/>
      <c r="J61" s="38" t="n"/>
      <c r="K61" s="38" t="n"/>
    </row>
    <row r="62">
      <c r="A62" s="38" t="n"/>
      <c r="B62" s="38" t="n"/>
      <c r="C62" s="38" t="n"/>
      <c r="D62" s="38" t="n"/>
      <c r="E62" s="38" t="n"/>
      <c r="F62" s="38" t="n"/>
      <c r="G62" s="38" t="n"/>
      <c r="H62" s="38" t="n"/>
      <c r="I62" s="38" t="n"/>
      <c r="J62" s="38" t="n"/>
      <c r="K62" s="38" t="n"/>
    </row>
    <row r="63">
      <c r="A63" s="38" t="n"/>
      <c r="B63" s="38" t="n"/>
      <c r="C63" s="38" t="n"/>
      <c r="D63" s="38" t="n"/>
      <c r="E63" s="38" t="n"/>
      <c r="F63" s="38" t="n"/>
      <c r="G63" s="38" t="n"/>
      <c r="H63" s="38" t="n"/>
      <c r="I63" s="38" t="n"/>
      <c r="J63" s="38" t="n"/>
      <c r="K63" s="38" t="n"/>
    </row>
    <row r="64">
      <c r="A64" s="38" t="n"/>
      <c r="B64" s="38" t="n"/>
      <c r="C64" s="38" t="n"/>
      <c r="D64" s="38" t="n"/>
      <c r="E64" s="38" t="n"/>
      <c r="F64" s="38" t="n"/>
      <c r="G64" s="38" t="n"/>
      <c r="H64" s="38" t="n"/>
      <c r="I64" s="38" t="n"/>
      <c r="J64" s="38" t="n"/>
      <c r="K64" s="38" t="n"/>
    </row>
    <row r="65">
      <c r="A65" s="38" t="n"/>
      <c r="B65" s="38" t="n"/>
      <c r="C65" s="38" t="n"/>
      <c r="D65" s="38" t="n"/>
      <c r="E65" s="38" t="n"/>
      <c r="F65" s="38" t="n"/>
      <c r="G65" s="38" t="n"/>
      <c r="H65" s="38" t="n"/>
      <c r="I65" s="38" t="n"/>
      <c r="J65" s="38" t="n"/>
      <c r="K65" s="38" t="n"/>
    </row>
    <row r="66">
      <c r="A66" s="38" t="n"/>
      <c r="B66" s="38" t="n"/>
      <c r="C66" s="38" t="n"/>
      <c r="D66" s="38" t="n"/>
      <c r="E66" s="38" t="n"/>
      <c r="F66" s="38" t="n"/>
      <c r="G66" s="38" t="n"/>
      <c r="H66" s="38" t="n"/>
      <c r="I66" s="38" t="n"/>
      <c r="J66" s="38" t="n"/>
      <c r="K66" s="38" t="n"/>
    </row>
    <row r="67">
      <c r="A67" s="38" t="n"/>
      <c r="B67" s="38" t="n"/>
      <c r="C67" s="38" t="n"/>
      <c r="D67" s="38" t="n"/>
      <c r="E67" s="38" t="n"/>
      <c r="F67" s="38" t="n"/>
      <c r="G67" s="38" t="n"/>
      <c r="H67" s="38" t="n"/>
      <c r="I67" s="38" t="n"/>
      <c r="J67" s="38" t="n"/>
      <c r="K67" s="38" t="n"/>
    </row>
    <row r="68">
      <c r="A68" s="38" t="n"/>
      <c r="B68" s="38" t="n"/>
      <c r="C68" s="38" t="n"/>
      <c r="D68" s="38" t="n"/>
      <c r="E68" s="38" t="n"/>
      <c r="F68" s="38" t="n"/>
      <c r="G68" s="38" t="n"/>
      <c r="H68" s="38" t="n"/>
      <c r="I68" s="38" t="n"/>
      <c r="J68" s="38" t="n"/>
      <c r="K68" s="38" t="n"/>
    </row>
    <row r="69">
      <c r="A69" s="38" t="n"/>
      <c r="B69" s="38" t="n"/>
      <c r="C69" s="38" t="n"/>
      <c r="D69" s="38" t="n"/>
      <c r="E69" s="38" t="n"/>
      <c r="F69" s="38" t="n"/>
      <c r="G69" s="38" t="n"/>
      <c r="H69" s="38" t="n"/>
      <c r="I69" s="38" t="n"/>
      <c r="J69" s="38" t="n"/>
      <c r="K69" s="38" t="n"/>
    </row>
    <row r="70">
      <c r="A70" s="38" t="n"/>
      <c r="B70" s="38" t="n"/>
      <c r="C70" s="38" t="n"/>
      <c r="D70" s="38" t="n"/>
      <c r="E70" s="38" t="n"/>
      <c r="F70" s="38" t="n"/>
      <c r="G70" s="38" t="n"/>
      <c r="H70" s="38" t="n"/>
      <c r="I70" s="38" t="n"/>
      <c r="J70" s="38" t="n"/>
      <c r="K70" s="38" t="n"/>
    </row>
    <row r="71">
      <c r="A71" s="38" t="n"/>
      <c r="B71" s="38" t="n"/>
      <c r="C71" s="38" t="n"/>
      <c r="D71" s="38" t="n"/>
      <c r="E71" s="38" t="n"/>
      <c r="F71" s="38" t="n"/>
      <c r="G71" s="38" t="n"/>
      <c r="H71" s="38" t="n"/>
      <c r="I71" s="38" t="n"/>
      <c r="J71" s="38" t="n"/>
      <c r="K71" s="38" t="n"/>
    </row>
    <row r="72">
      <c r="A72" s="38" t="n"/>
      <c r="B72" s="38" t="n"/>
      <c r="C72" s="38" t="n"/>
      <c r="D72" s="38" t="n"/>
      <c r="E72" s="38" t="n"/>
      <c r="F72" s="38" t="n"/>
      <c r="G72" s="38" t="n"/>
      <c r="H72" s="38" t="n"/>
      <c r="I72" s="38" t="n"/>
      <c r="J72" s="38" t="n"/>
      <c r="K72" s="38" t="n"/>
    </row>
    <row r="73">
      <c r="A73" s="38" t="n"/>
      <c r="B73" s="38" t="n"/>
      <c r="C73" s="38" t="n"/>
      <c r="D73" s="38" t="n"/>
      <c r="E73" s="38" t="n"/>
      <c r="F73" s="38" t="n"/>
      <c r="G73" s="38" t="n"/>
      <c r="H73" s="38" t="n"/>
      <c r="I73" s="38" t="n"/>
      <c r="J73" s="38" t="n"/>
      <c r="K73" s="38" t="n"/>
    </row>
    <row r="74">
      <c r="A74" s="38" t="n"/>
      <c r="B74" s="38" t="n"/>
      <c r="C74" s="38" t="n"/>
      <c r="D74" s="38" t="n"/>
      <c r="E74" s="38" t="n"/>
      <c r="F74" s="38" t="n"/>
      <c r="G74" s="38" t="n"/>
      <c r="H74" s="38" t="n"/>
      <c r="I74" s="38" t="n"/>
      <c r="J74" s="38" t="n"/>
      <c r="K74" s="38" t="n"/>
    </row>
    <row r="75">
      <c r="A75" s="38" t="n"/>
      <c r="B75" s="38" t="n"/>
      <c r="C75" s="38" t="n"/>
      <c r="D75" s="38" t="n"/>
      <c r="E75" s="38" t="n"/>
      <c r="F75" s="38" t="n"/>
      <c r="G75" s="38" t="n"/>
      <c r="H75" s="38" t="n"/>
      <c r="I75" s="38" t="n"/>
      <c r="J75" s="38" t="n"/>
      <c r="K75" s="38" t="n"/>
    </row>
    <row r="76">
      <c r="A76" s="38" t="n"/>
      <c r="B76" s="38" t="n"/>
      <c r="C76" s="38" t="n"/>
      <c r="D76" s="38" t="n"/>
      <c r="E76" s="38" t="n"/>
      <c r="F76" s="38" t="n"/>
      <c r="G76" s="38" t="n"/>
      <c r="H76" s="38" t="n"/>
      <c r="I76" s="38" t="n"/>
      <c r="J76" s="38" t="n"/>
      <c r="K76" s="38" t="n"/>
    </row>
    <row r="77">
      <c r="A77" s="38" t="n"/>
      <c r="B77" s="38" t="n"/>
      <c r="C77" s="38" t="n"/>
      <c r="D77" s="38" t="n"/>
      <c r="E77" s="38" t="n"/>
      <c r="F77" s="38" t="n"/>
      <c r="G77" s="38" t="n"/>
      <c r="H77" s="38" t="n"/>
      <c r="I77" s="38" t="n"/>
      <c r="J77" s="38" t="n"/>
      <c r="K77" s="38" t="n"/>
    </row>
    <row r="78">
      <c r="A78" s="38" t="n"/>
      <c r="B78" s="38" t="n"/>
      <c r="C78" s="38" t="n"/>
      <c r="D78" s="38" t="n"/>
      <c r="E78" s="38" t="n"/>
      <c r="F78" s="38" t="n"/>
      <c r="G78" s="38" t="n"/>
      <c r="H78" s="38" t="n"/>
      <c r="I78" s="38" t="n"/>
      <c r="J78" s="38" t="n"/>
      <c r="K78" s="38" t="n"/>
    </row>
    <row r="79">
      <c r="A79" s="38" t="n"/>
      <c r="B79" s="38" t="n"/>
      <c r="C79" s="38" t="n"/>
      <c r="D79" s="38" t="n"/>
      <c r="E79" s="38" t="n"/>
      <c r="F79" s="38" t="n"/>
      <c r="G79" s="38" t="n"/>
      <c r="H79" s="38" t="n"/>
      <c r="I79" s="38" t="n"/>
      <c r="J79" s="38" t="n"/>
      <c r="K79" s="38" t="n"/>
    </row>
    <row r="80">
      <c r="A80" s="38" t="n"/>
      <c r="B80" s="38" t="n"/>
      <c r="C80" s="38" t="n"/>
      <c r="D80" s="38" t="n"/>
      <c r="E80" s="38" t="n"/>
      <c r="F80" s="38" t="n"/>
      <c r="G80" s="38" t="n"/>
      <c r="H80" s="38" t="n"/>
      <c r="I80" s="38" t="n"/>
      <c r="J80" s="38" t="n"/>
      <c r="K80" s="38" t="n"/>
    </row>
    <row r="81">
      <c r="A81" s="38" t="n"/>
      <c r="B81" s="38" t="n"/>
      <c r="C81" s="38" t="n"/>
      <c r="D81" s="38" t="n"/>
      <c r="E81" s="38" t="n"/>
      <c r="F81" s="38" t="n"/>
      <c r="G81" s="38" t="n"/>
      <c r="H81" s="38" t="n"/>
      <c r="I81" s="38" t="n"/>
      <c r="J81" s="38" t="n"/>
      <c r="K81" s="38" t="n"/>
    </row>
    <row r="82">
      <c r="A82" s="38" t="n"/>
      <c r="B82" s="38" t="n"/>
      <c r="C82" s="38" t="n"/>
      <c r="D82" s="38" t="n"/>
      <c r="E82" s="38" t="n"/>
      <c r="F82" s="38" t="n"/>
      <c r="G82" s="38" t="n"/>
      <c r="H82" s="38" t="n"/>
      <c r="I82" s="38" t="n"/>
      <c r="J82" s="38" t="n"/>
      <c r="K82" s="38" t="n"/>
    </row>
    <row r="83">
      <c r="A83" s="38" t="n"/>
      <c r="B83" s="38" t="n"/>
      <c r="C83" s="38" t="n"/>
      <c r="D83" s="38" t="n"/>
      <c r="E83" s="38" t="n"/>
      <c r="F83" s="38" t="n"/>
      <c r="G83" s="38" t="n"/>
      <c r="H83" s="38" t="n"/>
      <c r="I83" s="38" t="n"/>
      <c r="J83" s="38" t="n"/>
      <c r="K83" s="38" t="n"/>
    </row>
    <row r="84">
      <c r="A84" s="38" t="n"/>
      <c r="B84" s="38" t="n"/>
      <c r="C84" s="38" t="n"/>
      <c r="D84" s="38" t="n"/>
      <c r="E84" s="38" t="n"/>
      <c r="F84" s="38" t="n"/>
      <c r="G84" s="38" t="n"/>
      <c r="H84" s="38" t="n"/>
      <c r="I84" s="38" t="n"/>
      <c r="J84" s="38" t="n"/>
      <c r="K84" s="38" t="n"/>
    </row>
    <row r="85">
      <c r="A85" s="38" t="n"/>
      <c r="B85" s="38" t="n"/>
      <c r="C85" s="38" t="n"/>
      <c r="D85" s="38" t="n"/>
      <c r="E85" s="38" t="n"/>
      <c r="F85" s="38" t="n"/>
      <c r="G85" s="38" t="n"/>
      <c r="H85" s="38" t="n"/>
      <c r="I85" s="38" t="n"/>
      <c r="J85" s="38" t="n"/>
      <c r="K85" s="38" t="n"/>
    </row>
    <row r="86">
      <c r="A86" s="38" t="n"/>
      <c r="B86" s="38" t="n"/>
      <c r="C86" s="38" t="n"/>
      <c r="D86" s="38" t="n"/>
      <c r="E86" s="38" t="n"/>
      <c r="F86" s="38" t="n"/>
      <c r="G86" s="38" t="n"/>
      <c r="H86" s="38" t="n"/>
      <c r="I86" s="38" t="n"/>
      <c r="J86" s="38" t="n"/>
      <c r="K86" s="38" t="n"/>
    </row>
    <row r="87">
      <c r="A87" s="38" t="n"/>
      <c r="B87" s="38" t="n"/>
      <c r="C87" s="38" t="n"/>
      <c r="D87" s="38" t="n"/>
      <c r="E87" s="38" t="n"/>
      <c r="F87" s="38" t="n"/>
      <c r="G87" s="38" t="n"/>
      <c r="H87" s="38" t="n"/>
      <c r="I87" s="38" t="n"/>
      <c r="J87" s="38" t="n"/>
      <c r="K87" s="38" t="n"/>
    </row>
    <row r="88">
      <c r="A88" s="38" t="n"/>
      <c r="B88" s="38" t="n"/>
      <c r="C88" s="38" t="n"/>
      <c r="D88" s="38" t="n"/>
      <c r="E88" s="38" t="n"/>
      <c r="F88" s="38" t="n"/>
      <c r="G88" s="38" t="n"/>
      <c r="H88" s="38" t="n"/>
      <c r="I88" s="38" t="n"/>
      <c r="J88" s="38" t="n"/>
      <c r="K88" s="38" t="n"/>
    </row>
    <row r="89">
      <c r="A89" s="38" t="n"/>
      <c r="B89" s="38" t="n"/>
      <c r="C89" s="38" t="n"/>
      <c r="D89" s="38" t="n"/>
      <c r="E89" s="38" t="n"/>
      <c r="F89" s="38" t="n"/>
      <c r="G89" s="38" t="n"/>
      <c r="H89" s="38" t="n"/>
      <c r="I89" s="38" t="n"/>
      <c r="J89" s="38" t="n"/>
      <c r="K89" s="38" t="n"/>
    </row>
    <row r="90">
      <c r="A90" s="38" t="n"/>
      <c r="B90" s="38" t="n"/>
      <c r="C90" s="38" t="n"/>
      <c r="D90" s="38" t="n"/>
      <c r="E90" s="38" t="n"/>
      <c r="F90" s="38" t="n"/>
      <c r="G90" s="38" t="n"/>
      <c r="H90" s="38" t="n"/>
      <c r="I90" s="38" t="n"/>
      <c r="J90" s="38" t="n"/>
      <c r="K90" s="38" t="n"/>
    </row>
    <row r="91">
      <c r="A91" s="38" t="n"/>
      <c r="B91" s="38" t="n"/>
      <c r="C91" s="38" t="n"/>
      <c r="D91" s="38" t="n"/>
      <c r="E91" s="38" t="n"/>
      <c r="F91" s="38" t="n"/>
      <c r="G91" s="38" t="n"/>
      <c r="H91" s="38" t="n"/>
      <c r="I91" s="38" t="n"/>
      <c r="J91" s="38" t="n"/>
      <c r="K91" s="38" t="n"/>
    </row>
    <row r="92">
      <c r="A92" s="38" t="n"/>
      <c r="B92" s="38" t="n"/>
      <c r="C92" s="38" t="n"/>
      <c r="D92" s="38" t="n"/>
      <c r="E92" s="38" t="n"/>
      <c r="F92" s="38" t="n"/>
      <c r="G92" s="38" t="n"/>
      <c r="H92" s="38" t="n"/>
      <c r="I92" s="38" t="n"/>
      <c r="J92" s="38" t="n"/>
      <c r="K92" s="38" t="n"/>
    </row>
    <row r="93">
      <c r="A93" s="38" t="n"/>
      <c r="B93" s="38" t="n"/>
      <c r="C93" s="38" t="n"/>
      <c r="D93" s="38" t="n"/>
      <c r="E93" s="38" t="n"/>
      <c r="F93" s="38" t="n"/>
      <c r="G93" s="38" t="n"/>
      <c r="H93" s="38" t="n"/>
      <c r="I93" s="38" t="n"/>
      <c r="J93" s="38" t="n"/>
      <c r="K93" s="38" t="n"/>
    </row>
    <row r="94">
      <c r="A94" s="38" t="n"/>
      <c r="B94" s="38" t="n"/>
      <c r="C94" s="38" t="n"/>
      <c r="D94" s="38" t="n"/>
      <c r="E94" s="38" t="n"/>
      <c r="F94" s="38" t="n"/>
      <c r="G94" s="38" t="n"/>
      <c r="H94" s="38" t="n"/>
      <c r="I94" s="38" t="n"/>
      <c r="J94" s="38" t="n"/>
      <c r="K94" s="38" t="n"/>
    </row>
    <row r="95">
      <c r="A95" s="38" t="n"/>
      <c r="B95" s="38" t="n"/>
      <c r="C95" s="38" t="n"/>
      <c r="D95" s="38" t="n"/>
      <c r="E95" s="38" t="n"/>
      <c r="F95" s="38" t="n"/>
      <c r="G95" s="38" t="n"/>
      <c r="H95" s="38" t="n"/>
      <c r="I95" s="38" t="n"/>
      <c r="J95" s="38" t="n"/>
      <c r="K95" s="38" t="n"/>
    </row>
    <row r="96">
      <c r="A96" s="38" t="n"/>
      <c r="B96" s="38" t="n"/>
      <c r="C96" s="38" t="n"/>
      <c r="D96" s="38" t="n"/>
      <c r="E96" s="38" t="n"/>
      <c r="F96" s="38" t="n"/>
      <c r="G96" s="38" t="n"/>
      <c r="H96" s="38" t="n"/>
      <c r="I96" s="38" t="n"/>
      <c r="J96" s="38" t="n"/>
      <c r="K96" s="38" t="n"/>
    </row>
    <row r="97">
      <c r="A97" s="38" t="n"/>
      <c r="B97" s="38" t="n"/>
      <c r="C97" s="38" t="n"/>
      <c r="D97" s="38" t="n"/>
      <c r="E97" s="38" t="n"/>
      <c r="F97" s="38" t="n"/>
      <c r="G97" s="38" t="n"/>
      <c r="H97" s="38" t="n"/>
      <c r="I97" s="38" t="n"/>
      <c r="J97" s="38" t="n"/>
      <c r="K97" s="38" t="n"/>
    </row>
    <row r="98">
      <c r="A98" s="38" t="n"/>
      <c r="B98" s="38" t="n"/>
      <c r="C98" s="38" t="n"/>
      <c r="D98" s="38" t="n"/>
      <c r="E98" s="38" t="n"/>
      <c r="F98" s="38" t="n"/>
      <c r="G98" s="38" t="n"/>
      <c r="H98" s="38" t="n"/>
      <c r="I98" s="38" t="n"/>
      <c r="J98" s="38" t="n"/>
      <c r="K98" s="38" t="n"/>
    </row>
    <row r="99">
      <c r="A99" s="38" t="n"/>
      <c r="B99" s="38" t="n"/>
      <c r="C99" s="38" t="n"/>
      <c r="D99" s="38" t="n"/>
      <c r="E99" s="38" t="n"/>
      <c r="F99" s="38" t="n"/>
      <c r="G99" s="38" t="n"/>
      <c r="H99" s="38" t="n"/>
      <c r="I99" s="38" t="n"/>
      <c r="J99" s="38" t="n"/>
      <c r="K99" s="38" t="n"/>
    </row>
    <row r="100">
      <c r="A100" s="38" t="n"/>
      <c r="B100" s="38" t="n"/>
      <c r="C100" s="38" t="n"/>
      <c r="D100" s="38" t="n"/>
      <c r="E100" s="38" t="n"/>
      <c r="F100" s="38" t="n"/>
      <c r="G100" s="38" t="n"/>
      <c r="H100" s="38" t="n"/>
      <c r="I100" s="38" t="n"/>
      <c r="J100" s="38" t="n"/>
      <c r="K100" s="38" t="n"/>
    </row>
    <row r="101">
      <c r="A101" s="38" t="n"/>
      <c r="B101" s="38" t="n"/>
      <c r="C101" s="38" t="n"/>
      <c r="D101" s="38" t="n"/>
      <c r="E101" s="38" t="n"/>
      <c r="F101" s="38" t="n"/>
      <c r="G101" s="38" t="n"/>
      <c r="H101" s="38" t="n"/>
      <c r="I101" s="38" t="n"/>
      <c r="J101" s="38" t="n"/>
      <c r="K101" s="38" t="n"/>
    </row>
    <row r="102">
      <c r="A102" s="38" t="n"/>
      <c r="B102" s="38" t="n"/>
      <c r="C102" s="38" t="n"/>
      <c r="D102" s="38" t="n"/>
      <c r="E102" s="38" t="n"/>
      <c r="F102" s="38" t="n"/>
      <c r="G102" s="38" t="n"/>
      <c r="H102" s="38" t="n"/>
      <c r="I102" s="38" t="n"/>
      <c r="J102" s="38" t="n"/>
      <c r="K102" s="38" t="n"/>
    </row>
    <row r="103">
      <c r="A103" s="38" t="n"/>
      <c r="B103" s="38" t="n"/>
      <c r="C103" s="38" t="n"/>
      <c r="D103" s="38" t="n"/>
      <c r="E103" s="38" t="n"/>
      <c r="F103" s="38" t="n"/>
      <c r="G103" s="38" t="n"/>
      <c r="H103" s="38" t="n"/>
      <c r="I103" s="38" t="n"/>
      <c r="J103" s="38" t="n"/>
      <c r="K103" s="38" t="n"/>
    </row>
    <row r="104">
      <c r="A104" s="38" t="n"/>
      <c r="B104" s="38" t="n"/>
      <c r="C104" s="38" t="n"/>
      <c r="D104" s="38" t="n"/>
      <c r="E104" s="38" t="n"/>
      <c r="F104" s="38" t="n"/>
      <c r="G104" s="38" t="n"/>
      <c r="H104" s="38" t="n"/>
      <c r="I104" s="38" t="n"/>
      <c r="J104" s="38" t="n"/>
      <c r="K104" s="38" t="n"/>
    </row>
    <row r="105">
      <c r="A105" s="38" t="n"/>
      <c r="B105" s="38" t="n"/>
      <c r="C105" s="38" t="n"/>
      <c r="D105" s="38" t="n"/>
      <c r="E105" s="38" t="n"/>
      <c r="F105" s="38" t="n"/>
      <c r="G105" s="38" t="n"/>
      <c r="H105" s="38" t="n"/>
      <c r="I105" s="38" t="n"/>
      <c r="J105" s="38" t="n"/>
      <c r="K105" s="38" t="n"/>
    </row>
    <row r="106">
      <c r="A106" s="38" t="n"/>
      <c r="B106" s="38" t="n"/>
      <c r="C106" s="38" t="n"/>
      <c r="D106" s="38" t="n"/>
      <c r="E106" s="38" t="n"/>
      <c r="F106" s="38" t="n"/>
      <c r="G106" s="38" t="n"/>
      <c r="H106" s="38" t="n"/>
      <c r="I106" s="38" t="n"/>
      <c r="J106" s="38" t="n"/>
      <c r="K106" s="38" t="n"/>
    </row>
    <row r="107">
      <c r="A107" s="38" t="n"/>
      <c r="B107" s="38" t="n"/>
      <c r="C107" s="38" t="n"/>
      <c r="D107" s="38" t="n"/>
      <c r="E107" s="38" t="n"/>
      <c r="F107" s="38" t="n"/>
      <c r="G107" s="38" t="n"/>
      <c r="H107" s="38" t="n"/>
      <c r="I107" s="38" t="n"/>
      <c r="J107" s="38" t="n"/>
      <c r="K107" s="38" t="n"/>
    </row>
    <row r="108">
      <c r="A108" s="38" t="n"/>
      <c r="B108" s="38" t="n"/>
      <c r="C108" s="38" t="n"/>
      <c r="D108" s="38" t="n"/>
      <c r="E108" s="38" t="n"/>
      <c r="F108" s="38" t="n"/>
      <c r="G108" s="38" t="n"/>
      <c r="H108" s="38" t="n"/>
      <c r="I108" s="38" t="n"/>
      <c r="J108" s="38" t="n"/>
      <c r="K108" s="38" t="n"/>
    </row>
    <row r="109">
      <c r="A109" s="38" t="n"/>
      <c r="B109" s="38" t="n"/>
      <c r="C109" s="38" t="n"/>
      <c r="D109" s="38" t="n"/>
      <c r="E109" s="38" t="n"/>
      <c r="F109" s="38" t="n"/>
      <c r="G109" s="38" t="n"/>
      <c r="H109" s="38" t="n"/>
      <c r="I109" s="38" t="n"/>
      <c r="J109" s="38" t="n"/>
      <c r="K109" s="38" t="n"/>
    </row>
    <row r="110">
      <c r="A110" s="38" t="n"/>
      <c r="B110" s="38" t="n"/>
      <c r="C110" s="38" t="n"/>
      <c r="D110" s="38" t="n"/>
      <c r="E110" s="38" t="n"/>
      <c r="F110" s="38" t="n"/>
      <c r="G110" s="38" t="n"/>
      <c r="H110" s="38" t="n"/>
      <c r="I110" s="38" t="n"/>
      <c r="J110" s="38" t="n"/>
      <c r="K110" s="38" t="n"/>
    </row>
    <row r="111">
      <c r="A111" s="38" t="n"/>
      <c r="B111" s="38" t="n"/>
      <c r="C111" s="38" t="n"/>
      <c r="D111" s="38" t="n"/>
      <c r="E111" s="38" t="n"/>
      <c r="F111" s="38" t="n"/>
      <c r="G111" s="38" t="n"/>
      <c r="H111" s="38" t="n"/>
      <c r="I111" s="38" t="n"/>
      <c r="J111" s="38" t="n"/>
      <c r="K111" s="38" t="n"/>
    </row>
    <row r="112">
      <c r="A112" s="38" t="n"/>
      <c r="B112" s="38" t="n"/>
      <c r="C112" s="38" t="n"/>
      <c r="D112" s="38" t="n"/>
      <c r="E112" s="38" t="n"/>
      <c r="F112" s="38" t="n"/>
      <c r="G112" s="38" t="n"/>
      <c r="H112" s="38" t="n"/>
      <c r="I112" s="38" t="n"/>
      <c r="J112" s="38" t="n"/>
      <c r="K112" s="38" t="n"/>
    </row>
    <row r="113">
      <c r="A113" s="38" t="n"/>
      <c r="B113" s="38" t="n"/>
      <c r="C113" s="38" t="n"/>
      <c r="D113" s="38" t="n"/>
      <c r="E113" s="38" t="n"/>
      <c r="F113" s="38" t="n"/>
      <c r="G113" s="38" t="n"/>
      <c r="H113" s="38" t="n"/>
      <c r="I113" s="38" t="n"/>
      <c r="J113" s="38" t="n"/>
      <c r="K113" s="38" t="n"/>
    </row>
    <row r="114">
      <c r="A114" s="38" t="n"/>
      <c r="B114" s="38" t="n"/>
      <c r="C114" s="38" t="n"/>
      <c r="D114" s="38" t="n"/>
      <c r="E114" s="38" t="n"/>
      <c r="F114" s="38" t="n"/>
      <c r="G114" s="38" t="n"/>
      <c r="H114" s="38" t="n"/>
      <c r="I114" s="38" t="n"/>
      <c r="J114" s="38" t="n"/>
      <c r="K114" s="38" t="n"/>
    </row>
    <row r="115">
      <c r="A115" s="38" t="n"/>
      <c r="B115" s="38" t="n"/>
      <c r="C115" s="38" t="n"/>
      <c r="D115" s="38" t="n"/>
      <c r="E115" s="38" t="n"/>
      <c r="F115" s="38" t="n"/>
      <c r="G115" s="38" t="n"/>
      <c r="H115" s="38" t="n"/>
      <c r="I115" s="38" t="n"/>
      <c r="J115" s="38" t="n"/>
      <c r="K115" s="38" t="n"/>
    </row>
    <row r="116">
      <c r="A116" s="38" t="n"/>
      <c r="B116" s="38" t="n"/>
      <c r="C116" s="38" t="n"/>
      <c r="D116" s="38" t="n"/>
      <c r="E116" s="38" t="n"/>
      <c r="F116" s="38" t="n"/>
      <c r="G116" s="38" t="n"/>
      <c r="H116" s="38" t="n"/>
      <c r="I116" s="38" t="n"/>
      <c r="J116" s="38" t="n"/>
      <c r="K116" s="38" t="n"/>
    </row>
    <row r="117">
      <c r="A117" s="38" t="n"/>
      <c r="B117" s="38" t="n"/>
      <c r="C117" s="38" t="n"/>
      <c r="D117" s="38" t="n"/>
      <c r="E117" s="38" t="n"/>
      <c r="F117" s="38" t="n"/>
      <c r="G117" s="38" t="n"/>
      <c r="H117" s="38" t="n"/>
      <c r="I117" s="38" t="n"/>
      <c r="J117" s="38" t="n"/>
      <c r="K117" s="38" t="n"/>
    </row>
    <row r="118">
      <c r="A118" s="38" t="n"/>
      <c r="B118" s="38" t="n"/>
      <c r="C118" s="38" t="n"/>
      <c r="D118" s="38" t="n"/>
      <c r="E118" s="38" t="n"/>
      <c r="F118" s="38" t="n"/>
      <c r="G118" s="38" t="n"/>
      <c r="H118" s="38" t="n"/>
      <c r="I118" s="38" t="n"/>
      <c r="J118" s="38" t="n"/>
      <c r="K118" s="38" t="n"/>
    </row>
    <row r="119">
      <c r="A119" s="38" t="n"/>
      <c r="B119" s="38" t="n"/>
      <c r="C119" s="38" t="n"/>
      <c r="D119" s="38" t="n"/>
      <c r="E119" s="38" t="n"/>
      <c r="F119" s="38" t="n"/>
      <c r="G119" s="38" t="n"/>
      <c r="H119" s="38" t="n"/>
      <c r="I119" s="38" t="n"/>
      <c r="J119" s="38" t="n"/>
      <c r="K119" s="38" t="n"/>
    </row>
    <row r="120">
      <c r="A120" s="38" t="n"/>
      <c r="B120" s="38" t="n"/>
      <c r="C120" s="38" t="n"/>
      <c r="D120" s="38" t="n"/>
      <c r="E120" s="38" t="n"/>
      <c r="F120" s="38" t="n"/>
      <c r="G120" s="38" t="n"/>
      <c r="H120" s="38" t="n"/>
      <c r="I120" s="38" t="n"/>
      <c r="J120" s="38" t="n"/>
      <c r="K120" s="38" t="n"/>
    </row>
    <row r="121">
      <c r="A121" s="38" t="n"/>
      <c r="B121" s="38" t="n"/>
      <c r="C121" s="38" t="n"/>
      <c r="D121" s="38" t="n"/>
      <c r="E121" s="38" t="n"/>
      <c r="F121" s="38" t="n"/>
      <c r="G121" s="38" t="n"/>
      <c r="H121" s="38" t="n"/>
      <c r="I121" s="38" t="n"/>
      <c r="J121" s="38" t="n"/>
      <c r="K121" s="38" t="n"/>
    </row>
    <row r="122">
      <c r="A122" s="38" t="n"/>
      <c r="B122" s="38" t="n"/>
      <c r="C122" s="38" t="n"/>
      <c r="D122" s="38" t="n"/>
      <c r="E122" s="38" t="n"/>
      <c r="F122" s="38" t="n"/>
      <c r="G122" s="38" t="n"/>
      <c r="H122" s="38" t="n"/>
      <c r="I122" s="38" t="n"/>
      <c r="J122" s="38" t="n"/>
      <c r="K122" s="38" t="n"/>
    </row>
    <row r="123">
      <c r="A123" s="38" t="n"/>
      <c r="B123" s="38" t="n"/>
      <c r="C123" s="38" t="n"/>
      <c r="D123" s="38" t="n"/>
      <c r="E123" s="38" t="n"/>
      <c r="F123" s="38" t="n"/>
      <c r="G123" s="38" t="n"/>
      <c r="H123" s="38" t="n"/>
      <c r="I123" s="38" t="n"/>
      <c r="J123" s="38" t="n"/>
      <c r="K123" s="38" t="n"/>
    </row>
    <row r="124">
      <c r="A124" s="38" t="n"/>
      <c r="B124" s="38" t="n"/>
      <c r="C124" s="38" t="n"/>
      <c r="D124" s="38" t="n"/>
      <c r="E124" s="38" t="n"/>
      <c r="F124" s="38" t="n"/>
      <c r="G124" s="38" t="n"/>
      <c r="H124" s="38" t="n"/>
      <c r="I124" s="38" t="n"/>
      <c r="J124" s="38" t="n"/>
      <c r="K124" s="38" t="n"/>
    </row>
    <row r="125">
      <c r="A125" s="38" t="n"/>
      <c r="B125" s="38" t="n"/>
      <c r="C125" s="38" t="n"/>
      <c r="D125" s="38" t="n"/>
      <c r="E125" s="38" t="n"/>
      <c r="F125" s="38" t="n"/>
      <c r="G125" s="38" t="n"/>
      <c r="H125" s="38" t="n"/>
      <c r="I125" s="38" t="n"/>
      <c r="J125" s="38" t="n"/>
      <c r="K125" s="38" t="n"/>
    </row>
    <row r="126">
      <c r="A126" s="38" t="n"/>
      <c r="B126" s="38" t="n"/>
      <c r="C126" s="38" t="n"/>
      <c r="D126" s="38" t="n"/>
      <c r="E126" s="38" t="n"/>
      <c r="F126" s="38" t="n"/>
      <c r="G126" s="38" t="n"/>
      <c r="H126" s="38" t="n"/>
      <c r="I126" s="38" t="n"/>
      <c r="J126" s="38" t="n"/>
      <c r="K126" s="38" t="n"/>
    </row>
    <row r="127">
      <c r="A127" s="38" t="n"/>
      <c r="B127" s="38" t="n"/>
      <c r="C127" s="38" t="n"/>
      <c r="D127" s="38" t="n"/>
      <c r="E127" s="38" t="n"/>
      <c r="F127" s="38" t="n"/>
      <c r="G127" s="38" t="n"/>
      <c r="H127" s="38" t="n"/>
      <c r="I127" s="38" t="n"/>
      <c r="J127" s="38" t="n"/>
      <c r="K127" s="38" t="n"/>
    </row>
    <row r="128">
      <c r="A128" s="38" t="n"/>
      <c r="B128" s="38" t="n"/>
      <c r="C128" s="38" t="n"/>
      <c r="D128" s="38" t="n"/>
      <c r="E128" s="38" t="n"/>
      <c r="F128" s="38" t="n"/>
      <c r="G128" s="38" t="n"/>
      <c r="H128" s="38" t="n"/>
      <c r="I128" s="38" t="n"/>
      <c r="J128" s="38" t="n"/>
      <c r="K128" s="38" t="n"/>
    </row>
    <row r="129">
      <c r="A129" s="38" t="n"/>
      <c r="B129" s="38" t="n"/>
      <c r="C129" s="38" t="n"/>
      <c r="D129" s="38" t="n"/>
      <c r="E129" s="38" t="n"/>
      <c r="F129" s="38" t="n"/>
      <c r="G129" s="38" t="n"/>
      <c r="H129" s="38" t="n"/>
      <c r="I129" s="38" t="n"/>
      <c r="J129" s="38" t="n"/>
      <c r="K129" s="38" t="n"/>
    </row>
  </sheetData>
  <mergeCells count="5">
    <mergeCell ref="A38:F38"/>
    <mergeCell ref="A2:F2"/>
    <mergeCell ref="A1:F1"/>
    <mergeCell ref="A22:F22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2026-04-23T06:23:46Z</dcterms:created>
  <dcterms:modified xmlns:dcterms="http://purl.org/dc/terms/" xmlns:xsi="http://www.w3.org/2001/XMLSchema-instance" xsi:type="dcterms:W3CDTF">2026-04-23T06:23:48Z</dcterms:modified>
</cp:coreProperties>
</file>