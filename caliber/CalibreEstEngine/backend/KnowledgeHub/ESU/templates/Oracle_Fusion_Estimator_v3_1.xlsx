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over" sheetId="2" state="visible" r:id="rId4"/>
    <sheet name="Assumptions" sheetId="3" state="visible" r:id="rId5"/>
    <sheet name="Module Estimator" sheetId="4" state="visible" r:id="rId6"/>
    <sheet name="Benchmark Library" sheetId="5" state="visible" r:id="rId7"/>
    <sheet name="Effort Summary" sheetId="6" state="visible" r:id="rId8"/>
    <sheet name="FTE &amp; Role Plan" sheetId="7" state="visible" r:id="rId9"/>
    <sheet name="Assumptions &amp; Risks" sheetId="8" state="visible" r:id="rId10"/>
    <sheet name="Cost Model"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<sst xmlns="http://schemas.openxmlformats.org/spreadsheetml/2006/main" count="1240" uniqueCount="737">
  <si>
    <t xml:space="preserve">ORACLE FUSION CLOUD — IMPLEMENTATION ESTIMATOR</t>
  </si>
  <si>
    <t xml:space="preserve">README — How to Use This Estimator</t>
  </si>
  <si>
    <t xml:space="preserve">1.  PURPOSE &amp; SCOPE</t>
  </si>
  <si>
    <t xml:space="preserve">This workbook is a benchmark-calibrated effort estimation tool for Oracle Fusion Cloud implementations. It covers the full suite — HCM, ERP Financials, Procurement, SCM, CX, EPM, Integration, Data Migration, Reporting, Security, Testing, OCM, and Programme Management — across all SDLC phases from Inception through Post Go-Live Support.
It is designed for use by Delivery Leads, Solution Architects, and Estimation CoE practitioners to produce a defensible, assumption-documented effort estimate at proposal, planning, or re-baselining stages. All unit effort values are grounded in published industry benchmarks (Everest Group, Forrester TEI, Gartner, SFIA v8) and are clearly sourced in the Benchmark Library tab.</t>
  </si>
  <si>
    <t xml:space="preserve">2.  WORKBOOK STRUCTURE — TAB GUIDE</t>
  </si>
  <si>
    <t xml:space="preserve">Tab Name</t>
  </si>
  <si>
    <t xml:space="preserve">Purpose</t>
  </si>
  <si>
    <t xml:space="preserve">Input / Output</t>
  </si>
  <si>
    <t xml:space="preserve">README</t>
  </si>
  <si>
    <t xml:space="preserve">This guide. Start here.</t>
  </si>
  <si>
    <t xml:space="preserve">Reference</t>
  </si>
  <si>
    <t xml:space="preserve">Cover</t>
  </si>
  <si>
    <t xml:space="preserve">Project metadata — client name, modules, deployment model, version.</t>
  </si>
  <si>
    <t xml:space="preserve">Input</t>
  </si>
  <si>
    <t xml:space="preserve">Assumptions</t>
  </si>
  <si>
    <t xml:space="preserve">Master control panel. All global levers: project parameters, rate card, complexity multipliers, SDLC phase splits. Change inputs here first.</t>
  </si>
  <si>
    <t xml:space="preserve">Module Estimator</t>
  </si>
  <si>
    <t xml:space="preserve">Core estimation matrix. 68 components across 12 Oracle Fusion pillars. Each row has: component, complexity, volume driver, unit effort, benchmark source, phase split %, complexity multiplier, base effort, and adjusted effort.</t>
  </si>
  <si>
    <t xml:space="preserve">Input + Calc</t>
  </si>
  <si>
    <t xml:space="preserve">Benchmark Library</t>
  </si>
  <si>
    <t xml:space="preserve">Read-only reference. Unit rates and productivity benchmarks from Everest Group (2023), Forrester TEI (2022–24), Gartner (2022), and SFIA v8. Low / Typical / High ranges per component type.</t>
  </si>
  <si>
    <t xml:space="preserve">Effort Summary</t>
  </si>
  <si>
    <t xml:space="preserve">Auto-rolled-up effort by module and by SDLC phase. Pulls from Module Estimator and Assumptions. Includes contingency.</t>
  </si>
  <si>
    <t xml:space="preserve">Output</t>
  </si>
  <si>
    <t xml:space="preserve">FTE &amp; Role Plan</t>
  </si>
  <si>
    <t xml:space="preserve">Role definitions, responsibilities, blended rates, and an 18-month FTE loading grid (month-by-month headcount per role).</t>
  </si>
  <si>
    <t xml:space="preserve">Assumptions &amp; Risks</t>
  </si>
  <si>
    <t xml:space="preserve">18 standard estimation assumptions, 11 exclusions, and a 14-row risk register with probability, impact, effort adder %, and mitigations.</t>
  </si>
  <si>
    <t xml:space="preserve">Reference + Output</t>
  </si>
  <si>
    <t xml:space="preserve">Cost Model</t>
  </si>
  <si>
    <t xml:space="preserve">Effort × blended rates → total engagement cost by role band. Includes contingency, management reserve, and phased cost split by SDLC phase.</t>
  </si>
  <si>
    <t xml:space="preserve">3.  HOW TO USE THIS ESTIMATOR — STEP BY STEP</t>
  </si>
  <si>
    <t xml:space="preserve">Step 1</t>
  </si>
  <si>
    <t xml:space="preserve">Fill in the Cover tab</t>
  </si>
  <si>
    <t xml:space="preserve">Enter the client name, Oracle modules in scope, deployment model, industry, and date. This is metadata only — it does not affect calculations.</t>
  </si>
  <si>
    <t xml:space="preserve">Step 2</t>
  </si>
  <si>
    <t xml:space="preserve">Set global parameters in Assumptions → Section A</t>
  </si>
  <si>
    <t xml:space="preserve">Enter: project duration, number of modules, legal entities/countries, integration count (simple vs complex), data migration object count, report count, CEMLI extensions count, contingency %, working days per month, and onshore/offshore split. These drive the cost model and effort summary.</t>
  </si>
  <si>
    <t xml:space="preserve">Step 3</t>
  </si>
  <si>
    <t xml:space="preserve">Set your Rate Card in Assumptions → Section B</t>
  </si>
  <si>
    <t xml:space="preserve">Review and adjust onshore and offshore daily rates per role band. Blended rates are auto-calculated based on the onshore/offshore split you entered in Step 2.</t>
  </si>
  <si>
    <t xml:space="preserve">Step 4</t>
  </si>
  <si>
    <t xml:space="preserve">Adjust complexity in Assumptions → Section C (optional)</t>
  </si>
  <si>
    <t xml:space="preserve">The four complexity multipliers (Low=0.7×, Medium=1.0×, High=1.4×, Very High=1.9×) are pre-set to industry norms. Adjust only if your organisation has calibrated data that differs from benchmarks.</t>
  </si>
  <si>
    <t xml:space="preserve">Step 5</t>
  </si>
  <si>
    <t xml:space="preserve">Set Volume Drivers and Complexity in Module Estimator — the most important step</t>
  </si>
  <si>
    <t xml:space="preserve">For each component row in the Module Estimator tab:
  • COMPLEXITY (column D): set to L / M / H / VH based on your assessment of this specific component for this client. Drives the multiplier in column M.
  • VOLUME DRIVER (column E): enter the count of how many of this object you are building. See Section 4 below for a full explanation of what volume means per component type. This is the most sensitive input — small changes here create the largest swings in total effort.</t>
  </si>
  <si>
    <t xml:space="preserve">Step 6</t>
  </si>
  <si>
    <t xml:space="preserve">Read outputs — do not edit green cells</t>
  </si>
  <si>
    <t xml:space="preserve">Base Effort (col N) = Volume × Unit Effort. Adjusted Effort (col O) = Base Effort × Complexity Multiplier. Totals with contingency are in the bottom two rows of the Module Estimator tab. The Effort Summary, FTE Plan, and Cost Model tabs auto-update from these.</t>
  </si>
  <si>
    <t xml:space="preserve">Step 7</t>
  </si>
  <si>
    <t xml:space="preserve">Review and tailor Assumptions &amp; Risks</t>
  </si>
  <si>
    <t xml:space="preserve">Check all 18 standard assumptions still hold for your engagement. Strike out any that do not apply. Add engagement-specific assumptions. Review the 14 risk rows — adjust probability/impact and add risks specific to this client's context.</t>
  </si>
  <si>
    <t xml:space="preserve">Step 8</t>
  </si>
  <si>
    <t xml:space="preserve">Present the Cost Model</t>
  </si>
  <si>
    <t xml:space="preserve">The Cost Model tab shows total engagement cost by role band (base + contingency), plus an indicative cost split by SDLC phase. Use this as the basis for your commercial proposal or internal budget submission.</t>
  </si>
  <si>
    <t xml:space="preserve">4.  UNDERSTANDING THE VOLUME DRIVER COLUMN (Module Estimator, Column E)</t>
  </si>
  <si>
    <t xml:space="preserve">The Volume Driver column answers one question: how many of this thing are we building or configuring? It is separate from complexity. Complexity adjusts the effort rate; volume adjusts how many times you apply that rate. The formula is simply:
        Base Effort (Days)  =  Volume Driver  ×  Unit Effort per item
Components fall into two distinct categories, and misunderstanding this distinction is the most common source of estimation error.</t>
  </si>
  <si>
    <t xml:space="preserve">CATEGORY A — Configuration Components  (Volume = 1 in almost all cases)</t>
  </si>
  <si>
    <t xml:space="preserve">These are modules or functional areas you configure once as a whole. The unit effort already prices the full end-to-end configuration effort for a standard deployment of that component. Volume = 1 means 'we are configuring this module once for this client.'
Increasing volume above 1 is only appropriate when you are genuinely deploying the same component multiple times — for example, configuring Payroll separately for 3 countries with distinct legislative rules (Volume = 3) or setting up separate AR configurations for 4 legal entities with different billing rules (Volume = 4).</t>
  </si>
  <si>
    <t xml:space="preserve">Component</t>
  </si>
  <si>
    <t xml:space="preserve">Typical Volume</t>
  </si>
  <si>
    <t xml:space="preserve">Rationale</t>
  </si>
  <si>
    <t xml:space="preserve">General Ledger &amp; Chart of Accounts</t>
  </si>
  <si>
    <t xml:space="preserve">1</t>
  </si>
  <si>
    <t xml:space="preserve">One CoA design per deployment, regardless of account count</t>
  </si>
  <si>
    <t xml:space="preserve">Absence Management</t>
  </si>
  <si>
    <t xml:space="preserve">One Absence module configuration, even if many absence types</t>
  </si>
  <si>
    <t xml:space="preserve">Payroll Run &amp; Reconciliation</t>
  </si>
  <si>
    <t xml:space="preserve">One payroll process design; use 3 if 3 countries with separate payrolls</t>
  </si>
  <si>
    <t xml:space="preserve">Accounts Payable</t>
  </si>
  <si>
    <t xml:space="preserve">One AP configuration; increase only for truly separate AP instances</t>
  </si>
  <si>
    <t xml:space="preserve">Supply Chain Planning</t>
  </si>
  <si>
    <t xml:space="preserve">One SCP configuration — forecasting models are a configuration choice, not volume</t>
  </si>
  <si>
    <t xml:space="preserve">Security: Role Design &amp; RBAC Model</t>
  </si>
  <si>
    <t xml:space="preserve">One role model per deployment, regardless of number of roles</t>
  </si>
  <si>
    <t xml:space="preserve">CATEGORY B — Countable / Repeating Objects  (Volume = actual count of objects to build)</t>
  </si>
  <si>
    <t xml:space="preserve">These are deliverables where you repeat a defined unit of work N times. Each interface, each migration template, each report, each CEMLI extension is a distinct build. The unit effort is the effort per object; total effort scales linearly with count.
This is where the estimate is most sensitive. Moving integrations from 17 to 30, or migration objects from 15 to 40, creates the largest swings in total project effort. These counts should be confirmed through dedicated discovery workshops as early as possible and locked into the scope baseline before the estimate is signed off.</t>
  </si>
  <si>
    <t xml:space="preserve">What to Count</t>
  </si>
  <si>
    <t xml:space="preserve">How to Confirm Volume</t>
  </si>
  <si>
    <t xml:space="preserve">REST/SOAP Simple Integrations</t>
  </si>
  <si>
    <t xml:space="preserve">17 (example)</t>
  </si>
  <si>
    <t xml:space="preserve">Count of distinct interface objects to build. Each = separate OIC flow, test, docs.</t>
  </si>
  <si>
    <t xml:space="preserve">Integration inventory workshop, Week 1–2</t>
  </si>
  <si>
    <t xml:space="preserve">Complex Real-Time Integrations</t>
  </si>
  <si>
    <t xml:space="preserve">8 (example)</t>
  </si>
  <si>
    <t xml:space="preserve">Bidirectional/event-driven interfaces counted separately from batch.</t>
  </si>
  <si>
    <t xml:space="preserve">FBDI/HDL Migration Templates</t>
  </si>
  <si>
    <t xml:space="preserve">15 (example)</t>
  </si>
  <si>
    <t xml:space="preserve">One template per migration object: Employees, Cost Centres, Suppliers, GL Balances, etc.</t>
  </si>
  <si>
    <t xml:space="preserve">Data migration object catalogue, Phase 0</t>
  </si>
  <si>
    <t xml:space="preserve">OTBI Standard Reports</t>
  </si>
  <si>
    <t xml:space="preserve">20 (example)</t>
  </si>
  <si>
    <t xml:space="preserve">Each report is a distinct deliverable: build, test, UAT sign-off.</t>
  </si>
  <si>
    <t xml:space="preserve">Reporting catalogue, agreed in Design phase</t>
  </si>
  <si>
    <t xml:space="preserve">Custom BIP/OTBI Complex Reports</t>
  </si>
  <si>
    <t xml:space="preserve">10 (example)</t>
  </si>
  <si>
    <t xml:space="preserve">Complex reports with joins, calculations, bursting — higher unit effort than standard.</t>
  </si>
  <si>
    <t xml:space="preserve">CEMLI Custom Extensions</t>
  </si>
  <si>
    <t xml:space="preserve">Each custom extension (Form Personalisation, BI Publisher, CEMLI) counted separately.</t>
  </si>
  <si>
    <t xml:space="preserve">CEMLI register, Design phase; minimise to &lt;15% of OOB scope</t>
  </si>
  <si>
    <t xml:space="preserve">Data Migration: Trial Loads</t>
  </si>
  <si>
    <t xml:space="preserve">Volume = 1 (the activity) but unit effort covers all objects in scope for that trial round.</t>
  </si>
  <si>
    <t xml:space="preserve">Scoped against migration object catalogue</t>
  </si>
  <si>
    <t xml:space="preserve">OAC Dashboards</t>
  </si>
  <si>
    <t xml:space="preserve">Each dashboard canvas counted as a deliverable.</t>
  </si>
  <si>
    <t xml:space="preserve">Analytics requirements workshop</t>
  </si>
  <si>
    <t xml:space="preserve">WHY VOLUME IS THE MOST SENSITIVE INPUT IN THE ENTIRE ESTIMATOR</t>
  </si>
  <si>
    <t xml:space="preserve">A single change in volume on a countable component can move total effort by hundreds of days. Examples at default unit efforts:
  • Integrations: 17 simple → 30 simple  =  +78 days of effort
  • Migration objects: 15 → 40  =  +100 days (FBDI templates alone)
  • Reports: 20 standard + 10 complex → 40 standard + 20 complex  =  +80 days
These three categories alone can swing a project by 250+ days — the equivalent of adding 1–2 FTEs for 6 months. This is why integration discovery, data migration cataloguing, and reporting requirements sign-off must happen before an estimate is committed, and why all three carry dedicated risk rows in the Assumptions &amp; Risks tab.</t>
  </si>
  <si>
    <t xml:space="preserve">5.  COLOUR CODING CONVENTION</t>
  </si>
  <si>
    <t xml:space="preserve">  Amber fill / text  </t>
  </si>
  <si>
    <t xml:space="preserve">INPUT CELL — edit this</t>
  </si>
  <si>
    <t xml:space="preserve">  Green fill / text  </t>
  </si>
  <si>
    <t xml:space="preserve">OUTPUT / CALCULATED — do not edit</t>
  </si>
  <si>
    <t xml:space="preserve">  Blue fill / text  </t>
  </si>
  <si>
    <t xml:space="preserve">FORMULA or cross-sheet reference</t>
  </si>
  <si>
    <t xml:space="preserve">  Grey fill  </t>
  </si>
  <si>
    <t xml:space="preserve">Alternating row background — no meaning</t>
  </si>
  <si>
    <t xml:space="preserve">  Purple fill / text  </t>
  </si>
  <si>
    <t xml:space="preserve">RISK or exclusion item</t>
  </si>
  <si>
    <t xml:space="preserve">  Light red fill  </t>
  </si>
  <si>
    <t xml:space="preserve">High-complexity or high-risk indicator</t>
  </si>
  <si>
    <t xml:space="preserve">  Yellow fill  </t>
  </si>
  <si>
    <t xml:space="preserve">KEY ASSUMPTION — flag for review before committing</t>
  </si>
  <si>
    <t xml:space="preserve">6.  BENCHMARK SOURCES &amp; PROVENANCE</t>
  </si>
  <si>
    <t xml:space="preserve">Everest Group</t>
  </si>
  <si>
    <t xml:space="preserve">Oracle Cloud HCM &amp; ERP Adoption Report 2023</t>
  </si>
  <si>
    <t xml:space="preserve">Component-level unit effort ranges for HCM, Financials, Integration, and Data Migration. Based on 200+ Oracle Cloud implementations across mid-market and enterprise segments.</t>
  </si>
  <si>
    <t xml:space="preserve">Forrester Research (TEI)</t>
  </si>
  <si>
    <t xml:space="preserve">Total Economic Impact of Oracle Fusion Cloud (2022–2024 Composite)</t>
  </si>
  <si>
    <t xml:space="preserve">Effort percentage splits by work stream (integration, data migration, testing, OCM), full-pillar effort ranges for ERP/HCM/EPM, and programme management overhead benchmarks.</t>
  </si>
  <si>
    <t xml:space="preserve">Gartner</t>
  </si>
  <si>
    <t xml:space="preserve">ERP Cloud Deployment Benchmarks — Magic Quadrant Companion 2022</t>
  </si>
  <si>
    <t xml:space="preserve">Timeline benchmarks, integration counts, CEMLI frequency, test cycle norms, cutover window guidance, and 3-year TCO uplift vs on-premise.</t>
  </si>
  <si>
    <t xml:space="preserve">SFIA v8</t>
  </si>
  <si>
    <t xml:space="preserve">Skills Framework for the Information Age — Version 8</t>
  </si>
  <si>
    <t xml:space="preserve">Technical productivity benchmarks: developer rates per extension, OIC integration flow build effort, test case development and execution rates, training material ratios.</t>
  </si>
  <si>
    <t xml:space="preserve">PMI PMBOK / Prosci ACMP</t>
  </si>
  <si>
    <t xml:space="preserve">Project Management Body of Knowledge + Association of Change Management Professionals</t>
  </si>
  <si>
    <t xml:space="preserve">Programme management overhead %, OCM activity sizing, and change management effort benchmarks used in PM and OCM rows.</t>
  </si>
  <si>
    <t xml:space="preserve">7.  GOVERNANCE, LIMITATIONS &amp; CHANGE CONTROL</t>
  </si>
  <si>
    <t xml:space="preserve">Estimate validity</t>
  </si>
  <si>
    <t xml:space="preserve">This estimate is valid for 12 months from the date on the Cover tab, assuming no change to scope, team composition, or delivery model. Rate card review is recommended at 6 months.</t>
  </si>
  <si>
    <t xml:space="preserve">Change control triggers</t>
  </si>
  <si>
    <t xml:space="preserve">Any of the following require re-estimation and a formal change request: addition of Oracle modules or countries not in the original scope; integration count exceeding the Assumptions tab by &gt;10%; data migration objects increasing by &gt;20%; CEMLI extensions exceeding the agreed cap; changes to go-live date that compress phases.</t>
  </si>
  <si>
    <t xml:space="preserve">What this estimate does not cover</t>
  </si>
  <si>
    <t xml:space="preserve">Oracle SaaS subscription/licensing costs; client internal resource time; third-party tool licences; post-hypercare managed services; and all items listed in the Exclusions section of the Assumptions &amp; Risks tab.</t>
  </si>
  <si>
    <t xml:space="preserve">Calibration recommendation</t>
  </si>
  <si>
    <t xml:space="preserve">After project completion, capture actual effort by component and compare to estimates. Update the unit effort values in the Module Estimator (column F) and the Benchmark Library with your own historical data. Over time, your internal benchmarks will supersede the published sources and the estimator will become self-calibrating.</t>
  </si>
  <si>
    <t xml:space="preserve">Escalation</t>
  </si>
  <si>
    <t xml:space="preserve">If a volume driver or complexity rating is disputed by the client or delivery team, the Benchmark Library tab provides the source range (Low/Typical/High) that justifies the unit effort used. Always cite the source column (column G of the Module Estimator) when defending an estimate.</t>
  </si>
  <si>
    <t xml:space="preserve">Oracle Fusion Cloud Implementation Estimator  |  Benchmark sources: Everest Group, Forrester TEI, Gartner, SFIA v8  |  For internal estimation use only</t>
  </si>
  <si>
    <t xml:space="preserve">Enterprise-Grade Effort, FTE &amp; Cost Estimation Framework | Benchmark-Calibrated</t>
  </si>
  <si>
    <t xml:space="preserve">Client / Engagement Name</t>
  </si>
  <si>
    <t xml:space="preserve">&lt;&lt;Enter Name&gt;&gt;</t>
  </si>
  <si>
    <t xml:space="preserve">Oracle Modules in Scope</t>
  </si>
  <si>
    <t xml:space="preserve">&lt;&lt;e.g. HCM, ERP, SCM&gt;&gt;</t>
  </si>
  <si>
    <t xml:space="preserve">Deployment Model</t>
  </si>
  <si>
    <t xml:space="preserve">&lt;&lt;Cloud / Hybrid&gt;&gt;</t>
  </si>
  <si>
    <t xml:space="preserve">Industry Vertical</t>
  </si>
  <si>
    <t xml:space="preserve">&lt;&lt;e.g. Manufacturing, BFSI&gt;&gt;</t>
  </si>
  <si>
    <t xml:space="preserve">Estimator Version</t>
  </si>
  <si>
    <t xml:space="preserve">v1.0</t>
  </si>
  <si>
    <t xml:space="preserve">Prepared By</t>
  </si>
  <si>
    <t xml:space="preserve">&lt;&lt;Name&gt;&gt;</t>
  </si>
  <si>
    <t xml:space="preserve">Date</t>
  </si>
  <si>
    <t xml:space="preserve">&lt;&lt;DD-MMM-YYYY&gt;&gt;</t>
  </si>
  <si>
    <t xml:space="preserve">Estimation Basis</t>
  </si>
  <si>
    <t xml:space="preserve">Benchmark-calibrated (Forrester TEI, Everest Group, Gartner)</t>
  </si>
  <si>
    <t xml:space="preserve">WORKBOOK NAVIGATION GUIDE</t>
  </si>
  <si>
    <t xml:space="preserve">1. Assumptions</t>
  </si>
  <si>
    <t xml:space="preserve">Global levers – team size, contingency %, blended rates, SDLC coverage</t>
  </si>
  <si>
    <t xml:space="preserve">2. Module Estimator</t>
  </si>
  <si>
    <t xml:space="preserve">Component-level effort matrix: all Fusion modules × complexity × phase</t>
  </si>
  <si>
    <t xml:space="preserve">3. Benchmark Library</t>
  </si>
  <si>
    <t xml:space="preserve">Forrester / Everest / Gartner / SFIA unit rates &amp; productivity benchmarks</t>
  </si>
  <si>
    <t xml:space="preserve">4. Effort Summary</t>
  </si>
  <si>
    <t xml:space="preserve">Consolidated effort by module, phase, role — auto-rolled up from Module sheet</t>
  </si>
  <si>
    <t xml:space="preserve">5. FTE &amp; Role Plan</t>
  </si>
  <si>
    <t xml:space="preserve">FTE loading plan per role per month across project timeline</t>
  </si>
  <si>
    <t xml:space="preserve">6. Assumptions &amp; Risks</t>
  </si>
  <si>
    <t xml:space="preserve">Standard estimation assumptions, exclusions, and risk register</t>
  </si>
  <si>
    <t xml:space="preserve">7. Cost Model</t>
  </si>
  <si>
    <t xml:space="preserve">Effort × blended rates → cost by role band and total engagement cost</t>
  </si>
  <si>
    <t xml:space="preserve">INPUT CELLS: Amber fill | FORMULA CELLS: Blue text | OUTPUT CELLS: Green fill</t>
  </si>
  <si>
    <t xml:space="preserve">GLOBAL ASSUMPTIONS &amp; LEVERS — Oracle Fusion Implementation Estimator</t>
  </si>
  <si>
    <t xml:space="preserve">A. PROJECT PARAMETERS</t>
  </si>
  <si>
    <t xml:space="preserve">Parameter</t>
  </si>
  <si>
    <t xml:space="preserve">Value</t>
  </si>
  <si>
    <t xml:space="preserve">Unit</t>
  </si>
  <si>
    <t xml:space="preserve">Min</t>
  </si>
  <si>
    <t xml:space="preserve">Max</t>
  </si>
  <si>
    <t xml:space="preserve">Source / Note</t>
  </si>
  <si>
    <t xml:space="preserve">Project Duration (months)</t>
  </si>
  <si>
    <t xml:space="preserve">months</t>
  </si>
  <si>
    <t xml:space="preserve">Everest Group Oracle Cloud avg 14-22 mths (mid-market to enterprise)</t>
  </si>
  <si>
    <t xml:space="preserve">No. of Oracle Modules in Scope</t>
  </si>
  <si>
    <t xml:space="preserve">count</t>
  </si>
  <si>
    <t xml:space="preserve">Adjustable — see Module Estimator tab</t>
  </si>
  <si>
    <t xml:space="preserve">No. of Legal Entities / Countries</t>
  </si>
  <si>
    <t xml:space="preserve">Drives data migration &amp; localisation complexity</t>
  </si>
  <si>
    <t xml:space="preserve">No. of Integrations (Interfaces)</t>
  </si>
  <si>
    <t xml:space="preserve">Gartner: avg 30-50 for mid-market ERP</t>
  </si>
  <si>
    <t xml:space="preserve">No. of Data Migration Objects</t>
  </si>
  <si>
    <t xml:space="preserve">Everest: typical 10-40 objects per deployment</t>
  </si>
  <si>
    <t xml:space="preserve">No. of Custom Reports / Analytics</t>
  </si>
  <si>
    <t xml:space="preserve">Forrester TEI: 30-60 standard; 60-150 complex</t>
  </si>
  <si>
    <t xml:space="preserve">No. of Custom Extensions (CEMLI)</t>
  </si>
  <si>
    <t xml:space="preserve">Best practice: minimise to &lt;15% of OOB</t>
  </si>
  <si>
    <t xml:space="preserve">No. of Integrations – Complex</t>
  </si>
  <si>
    <t xml:space="preserve">Bidirectional, real-time, event-driven</t>
  </si>
  <si>
    <t xml:space="preserve">No. of Integrations – Simple</t>
  </si>
  <si>
    <t xml:space="preserve">Batch/file-based, one-way</t>
  </si>
  <si>
    <t xml:space="preserve">Contingency %</t>
  </si>
  <si>
    <t xml:space="preserve">%</t>
  </si>
  <si>
    <t xml:space="preserve">PMI standard: 10-20%; Oracle programmes 15%</t>
  </si>
  <si>
    <t xml:space="preserve">Management Reserve %</t>
  </si>
  <si>
    <t xml:space="preserve">Programme-level buffer over contingency</t>
  </si>
  <si>
    <t xml:space="preserve">Working Hours per Day</t>
  </si>
  <si>
    <t xml:space="preserve">hrs</t>
  </si>
  <si>
    <t xml:space="preserve">Standard billing day</t>
  </si>
  <si>
    <t xml:space="preserve">Working Days per Month</t>
  </si>
  <si>
    <t xml:space="preserve">days</t>
  </si>
  <si>
    <t xml:space="preserve">Standard; adjust for regional calendars</t>
  </si>
  <si>
    <t xml:space="preserve">Onshore %</t>
  </si>
  <si>
    <t xml:space="preserve">Blended onshore/offshore delivery model</t>
  </si>
  <si>
    <t xml:space="preserve">Offshore %</t>
  </si>
  <si>
    <t xml:space="preserve">Should sum to 100% with Onshore %</t>
  </si>
  <si>
    <t xml:space="preserve">B. RATE CARD — BLENDED DAILY RATES (USD)</t>
  </si>
  <si>
    <t xml:space="preserve">Role / Band</t>
  </si>
  <si>
    <t xml:space="preserve">Onshore Rate ($/day)</t>
  </si>
  <si>
    <t xml:space="preserve">Offshore Rate ($/day)</t>
  </si>
  <si>
    <t xml:space="preserve">Blended Rate ($/day)</t>
  </si>
  <si>
    <t xml:space="preserve">Seniority Level</t>
  </si>
  <si>
    <t xml:space="preserve">Typical Engagement %</t>
  </si>
  <si>
    <t xml:space="preserve">Programme Director / Engagement Lead</t>
  </si>
  <si>
    <t xml:space="preserve">Partner / Director</t>
  </si>
  <si>
    <t xml:space="preserve">3%</t>
  </si>
  <si>
    <t xml:space="preserve">Solution Architect</t>
  </si>
  <si>
    <t xml:space="preserve">Senior Manager</t>
  </si>
  <si>
    <t xml:space="preserve">5%</t>
  </si>
  <si>
    <t xml:space="preserve">Functional Lead (per module)</t>
  </si>
  <si>
    <t xml:space="preserve">12%</t>
  </si>
  <si>
    <t xml:space="preserve">Technical Lead (Integration/Dev)</t>
  </si>
  <si>
    <t xml:space="preserve">8%</t>
  </si>
  <si>
    <t xml:space="preserve">Functional Consultant (Senior)</t>
  </si>
  <si>
    <t xml:space="preserve">Manager</t>
  </si>
  <si>
    <t xml:space="preserve">20%</t>
  </si>
  <si>
    <t xml:space="preserve">Functional Consultant (Mid)</t>
  </si>
  <si>
    <t xml:space="preserve">Senior Associate</t>
  </si>
  <si>
    <t xml:space="preserve">18%</t>
  </si>
  <si>
    <t xml:space="preserve">Technical Developer</t>
  </si>
  <si>
    <t xml:space="preserve">10%</t>
  </si>
  <si>
    <t xml:space="preserve">Data Migration Specialist</t>
  </si>
  <si>
    <t xml:space="preserve">7%</t>
  </si>
  <si>
    <t xml:space="preserve">Change Management / OCM Lead</t>
  </si>
  <si>
    <t xml:space="preserve">Testing Lead / QA Manager</t>
  </si>
  <si>
    <t xml:space="preserve">Infrastructure / Cloud Engineer</t>
  </si>
  <si>
    <t xml:space="preserve">4%</t>
  </si>
  <si>
    <t xml:space="preserve">Project Manager</t>
  </si>
  <si>
    <t xml:space="preserve">C. COMPLEXITY MULTIPLIERS</t>
  </si>
  <si>
    <t xml:space="preserve">Complexity Level</t>
  </si>
  <si>
    <t xml:space="preserve">Multiplier</t>
  </si>
  <si>
    <t xml:space="preserve">Selection Criteria</t>
  </si>
  <si>
    <t xml:space="preserve">Config Example</t>
  </si>
  <si>
    <t xml:space="preserve">Custom Example</t>
  </si>
  <si>
    <t xml:space="preserve">Data Migration Example</t>
  </si>
  <si>
    <t xml:space="preserve">Low</t>
  </si>
  <si>
    <t xml:space="preserve">• OOB / standard Oracle functionality; minimal configuration beyond defaults
• Single legal entity or business unit; no country-specific localisation
• Processes closely match Oracle standard; no workarounds or process redesign
• Standard approval workflow (1–2 levels); standard RBAC roles sufficient
• Source data is clean, well-structured, available in compatible format
• Integration is one-way batch/file-based (SFTP/FTP); no transformation logic</t>
  </si>
  <si>
    <t xml:space="preserve">› Single-country absence plans &amp; holiday calendars
› Standard expense policy with OOB approval
› Item category setup with standard attributes</t>
  </si>
  <si>
    <t xml:space="preserve">› One-way batch SFTP integration (file-based)
› Standard OTBI report using a single subject area
› Simple page personalisation (hide/show fields)</t>
  </si>
  <si>
    <t xml:space="preserve">› Reference data (departments, grades, jobs) — clean single source
› Supplier master from single ERP, no duplicates, standard fields
› GL chart of accounts with clear legacy mapping</t>
  </si>
  <si>
    <t xml:space="preserve">Medium</t>
  </si>
  <si>
    <t xml:space="preserve">• Some configuration beyond OOB; guided by Oracle best practice
• 2–5 legal entities or business units sharing common structures
• Minor process deviations handled via Oracle flexfields or lookups
• Standard multi-level approval workflow (2–3 levels); standard security model
• Source data requires moderate cleansing; mostly 1-to-1 field mapping
• Standard REST/SOAP API integration; moderate transformation logic</t>
  </si>
  <si>
    <t xml:space="preserve">› Multi-entity GL with intercompany accounting (3 entities)
› AP invoice approval with 3-level BPM workflow
› Payroll element setup for a single-country payroll</t>
  </si>
  <si>
    <t xml:space="preserve">› OIC REST API integration (inbound/outbound, moderate mapping)
› OTBI report across 2 subject areas with calculated measures
› BPM workflow extension with conditional routing</t>
  </si>
  <si>
    <t xml:space="preserve">› Employee master from a single HR system with standard fields
› Open AP invoices from a structured ERP with known schema
› Item master with 50–70% direct attribute mapping</t>
  </si>
  <si>
    <t xml:space="preserve">High</t>
  </si>
  <si>
    <t xml:space="preserve">• Significant complexity; multiple exceptions to OOB process
• 6–15 legal entities, multi-country, or cross-pillar dependencies
• Legislative or regulatory requirements driving non-standard configuration
• Complex multi-level approval hierarchies; data security policy design
• Source data is poor quality, fragmented across systems, or unstructured
• Real-time or bidirectional integration; event-driven or orchestrated flows</t>
  </si>
  <si>
    <t xml:space="preserve">› Multi-country payroll with country-specific tax localisations (3+ countries)
› WMS warehouse layout with advanced picking, putaway &amp; replenishment rules
› Security RBAC design with SoD conflict identification and remediation</t>
  </si>
  <si>
    <t xml:space="preserve">› Bidirectional real-time OIC integration with complex transformation logic
› Custom payroll Fast Formula with tax override and conditional logic
› OAC dashboard with cross-pillar KPIs and multi-source calculated metrics</t>
  </si>
  <si>
    <t xml:space="preserve">› Employee data from 3+ HR systems with conflicting schemas
› Fixed assets with full depreciation history and NBV reconciliation
› BOM/routing from legacy MRP with non-standard structure and UoM</t>
  </si>
  <si>
    <t xml:space="preserve">Very High</t>
  </si>
  <si>
    <t xml:space="preserve">• Heavily customised or non-standard process; Oracle OOB not fit for purpose
• 15+ legal entities, global rollout, or highly regulated (BFSI, Pharma, Defence)
• High CEMLI dependency; multiple custom extensions interacting with each other
• Real-time multi-system orchestration with complex event handling and retry logic
• Legacy data with no clear mapping, large volumes, or critical statutory reconciliation
• Concurrent go-live across multiple countries or business units in a single cutover</t>
  </si>
  <si>
    <t xml:space="preserve">› Global payroll across 10+ countries with unique legislation per country
› Holding company consolidation with complex minority interest &amp; FX elimination
› Manufacturing with multi-level BOM, shop floor control, and IoT sensor integration</t>
  </si>
  <si>
    <t xml:space="preserve">› ODA chatbot with NLP + multi-system backend orchestration
› Multi-system integration hub (ERP + HCM + CRM + 3PL + Banking)
› Custom statutory report replacing a government submission format</t>
  </si>
  <si>
    <t xml:space="preserve">› Legacy COBOL mainframe data with reverse-engineered schema
› Multi-country payroll balances with local statutory year-end carryforward
› Inventory from 5+ legacy WMS systems with conflicting UoM, codes and structures</t>
  </si>
  <si>
    <t xml:space="preserve">D. SDLC PHASE EFFORT DISTRIBUTION (% of Total Effort)</t>
  </si>
  <si>
    <t xml:space="preserve">SDLC Phase</t>
  </si>
  <si>
    <t xml:space="preserve">% Effort</t>
  </si>
  <si>
    <t xml:space="preserve">Oracle AIM/OUM Ref</t>
  </si>
  <si>
    <t xml:space="preserve">Key Activities</t>
  </si>
  <si>
    <t xml:space="preserve">Inception / Mobilisation</t>
  </si>
  <si>
    <t xml:space="preserve">Phase 0</t>
  </si>
  <si>
    <t xml:space="preserve">Kick-off, infra setup, team onboarding, governance</t>
  </si>
  <si>
    <t xml:space="preserve">Discover &amp; Assess (CRP1)</t>
  </si>
  <si>
    <t xml:space="preserve">OUM: Inception</t>
  </si>
  <si>
    <t xml:space="preserve">Current state, gap analysis, Conference Room Pilot 1</t>
  </si>
  <si>
    <t xml:space="preserve">Design (CRP2/Blueprint)</t>
  </si>
  <si>
    <t xml:space="preserve">OUM: Elaboration</t>
  </si>
  <si>
    <t xml:space="preserve">Future state design, CRP2, solution architecture</t>
  </si>
  <si>
    <t xml:space="preserve">Build / Configure</t>
  </si>
  <si>
    <t xml:space="preserve">OUM: Construction</t>
  </si>
  <si>
    <t xml:space="preserve">Configuration, development, integration build</t>
  </si>
  <si>
    <t xml:space="preserve">Integration &amp; Testing</t>
  </si>
  <si>
    <t xml:space="preserve">OUM: Transition</t>
  </si>
  <si>
    <t xml:space="preserve">SIT, UAT, performance test, defect resolution</t>
  </si>
  <si>
    <t xml:space="preserve">Data Migration</t>
  </si>
  <si>
    <t xml:space="preserve">Data extraction, cleansing, load &amp; reconciliation</t>
  </si>
  <si>
    <t xml:space="preserve">Training &amp; OCM</t>
  </si>
  <si>
    <t xml:space="preserve">End-user training, change readiness, communications</t>
  </si>
  <si>
    <t xml:space="preserve">Go-Live &amp; Cutover</t>
  </si>
  <si>
    <t xml:space="preserve">OUM: Production</t>
  </si>
  <si>
    <t xml:space="preserve">Cutover planning, go-live execution, hypercare</t>
  </si>
  <si>
    <t xml:space="preserve">Post Go-Live Support</t>
  </si>
  <si>
    <t xml:space="preserve">Hypercare, stabilisation, knowledge transfer</t>
  </si>
  <si>
    <t xml:space="preserve">MODULE-LEVEL EFFORT ESTIMATION MATRIX — Oracle Fusion Cloud Implementation</t>
  </si>
  <si>
    <t xml:space="preserve">Enter volumetric drivers (yellow cells). Complexity auto-applies benchmark unit effort from Benchmark Library.</t>
  </si>
  <si>
    <t xml:space="preserve">Module / Pillar</t>
  </si>
  <si>
    <t xml:space="preserve">Component / Sub-Process</t>
  </si>
  <si>
    <t xml:space="preserve">Complexity
(L/M/H/VH)</t>
  </si>
  <si>
    <t xml:space="preserve">Volume
Driver
(Count)</t>
  </si>
  <si>
    <t xml:space="preserve">Unit Effort
(Days) — OOB</t>
  </si>
  <si>
    <t xml:space="preserve">Benchmark
Source</t>
  </si>
  <si>
    <t xml:space="preserve">Phase:
Discover
(%)</t>
  </si>
  <si>
    <t xml:space="preserve">Phase:
Design
(%)</t>
  </si>
  <si>
    <t xml:space="preserve">Phase:
Build
(%)</t>
  </si>
  <si>
    <t xml:space="preserve">Phase:
Test
(%)</t>
  </si>
  <si>
    <t xml:space="preserve">Phase:
Deploy
(%)</t>
  </si>
  <si>
    <t xml:space="preserve">Complexity
Multiplier</t>
  </si>
  <si>
    <t xml:space="preserve">Base Effort
(Days)</t>
  </si>
  <si>
    <t xml:space="preserve">Adjusted Effort
(Days)</t>
  </si>
  <si>
    <t xml:space="preserve">Primary Role</t>
  </si>
  <si>
    <t xml:space="preserve">  ▼  COMPLEXITY GUIDE — How to select L / M / H / VH for each row (Column D)</t>
  </si>
  <si>
    <t xml:space="preserve">Select the code that best describes the majority of the work in this row. When in doubt between two levels, always choose the higher one and document your rationale. Multipliers are applied automatically from the Assumptions tab.</t>
  </si>
  <si>
    <t xml:space="preserve">Level (Code)</t>
  </si>
  <si>
    <t xml:space="preserve">Typical Example for this Sheet</t>
  </si>
  <si>
    <t xml:space="preserve">Low  (L)  ×HL:0.7×</t>
  </si>
  <si>
    <t xml:space="preserve">  •  OOB / standard Oracle functionality; minimal configuration beyond defaults
  •  Single legal entity or business unit; no country-specific localisation
  •  Processes closely match Oracle standard; no workarounds or process redesign
  •  Standard approval workflow (1–2 levels); standard RBAC roles sufficient
  •  Source data is clean, well-structured, available in compatible format
  •  Integration is one-way batch/file-based (SFTP/FTP); no transformation logic</t>
  </si>
  <si>
    <t xml:space="preserve">  ›  Single-country absence plans &amp; holiday calendars
  ›  Standard expense policy with OOB approval
  ›  Item category setup with standard attributes</t>
  </si>
  <si>
    <t xml:space="preserve">Medium  (M)  ×HL:1.0×</t>
  </si>
  <si>
    <t xml:space="preserve">  •  Some configuration beyond OOB; guided by Oracle best practice
  •  2–5 legal entities or business units sharing common structures
  •  Minor process deviations handled via Oracle flexfields or lookups
  •  Standard multi-level approval workflow (2–3 levels); standard security model
  •  Source data requires moderate cleansing; mostly 1-to-1 field mapping
  •  Standard REST/SOAP API integration; moderate transformation logic</t>
  </si>
  <si>
    <t xml:space="preserve">  ›  Multi-entity GL with intercompany accounting (3 entities)
  ›  AP invoice approval with 3-level BPM workflow
  ›  Payroll element setup for a single-country payroll</t>
  </si>
  <si>
    <t xml:space="preserve">High  (H)  ×HL:1.4×</t>
  </si>
  <si>
    <t xml:space="preserve">  •  Significant complexity; multiple exceptions to OOB process
  •  6–15 legal entities, multi-country, or cross-pillar dependencies
  •  Legislative or regulatory requirements driving non-standard configuration
  •  Complex multi-level approval hierarchies; data security policy design
  •  Source data is poor quality, fragmented across systems, or unstructured
  •  Real-time or bidirectional integration; event-driven or orchestrated flows</t>
  </si>
  <si>
    <t xml:space="preserve">  ›  Multi-country payroll with country-specific tax localisations (3+ countries)
  ›  WMS warehouse layout with advanced picking, putaway &amp; replenishment rules
  ›  Security RBAC design with SoD conflict identification and remediation</t>
  </si>
  <si>
    <t xml:space="preserve">Very High  (VH)  ×HL:1.9×</t>
  </si>
  <si>
    <t xml:space="preserve">  •  Heavily customised or non-standard process; Oracle OOB not fit for purpose
  •  15+ legal entities, global rollout, or highly regulated (BFSI, Pharma, Defence)
  •  High CEMLI dependency; multiple custom extensions interacting with each other
  •  Real-time multi-system orchestration with complex event handling and retry logic
  •  Legacy data with no clear mapping, large volumes, or critical statutory reconciliation
  •  Concurrent go-live across multiple countries or business units in a single cutover</t>
  </si>
  <si>
    <t xml:space="preserve">  ›  Global payroll across 10+ countries with unique legislation per country
  ›  Holding company consolidation with complex minority interest &amp; FX elimination
  ›  Manufacturing with multi-level BOM, shop floor control, and IoT sensor integration</t>
  </si>
  <si>
    <t xml:space="preserve">HCM – Core HR</t>
  </si>
  <si>
    <t xml:space="preserve">Enterprise Structures &amp; Legal Entities</t>
  </si>
  <si>
    <t xml:space="preserve">M</t>
  </si>
  <si>
    <t xml:space="preserve">Everest 2023</t>
  </si>
  <si>
    <t xml:space="preserve">Functional Consultant</t>
  </si>
  <si>
    <t xml:space="preserve">Workforce Structures (Dept/Grade/Position)</t>
  </si>
  <si>
    <t xml:space="preserve">Employee Lifecycle Management</t>
  </si>
  <si>
    <t xml:space="preserve">Gartner 2022</t>
  </si>
  <si>
    <t xml:space="preserve">Functional Lead</t>
  </si>
  <si>
    <t xml:space="preserve">Forrester TEI</t>
  </si>
  <si>
    <t xml:space="preserve">Document Management &amp; Person Info</t>
  </si>
  <si>
    <t xml:space="preserve">L</t>
  </si>
  <si>
    <t xml:space="preserve">HCM – Payroll</t>
  </si>
  <si>
    <t xml:space="preserve">Payroll Element Setup &amp; Fast Formulas</t>
  </si>
  <si>
    <t xml:space="preserve">H</t>
  </si>
  <si>
    <t xml:space="preserve">Tax Localisation &amp; Costing</t>
  </si>
  <si>
    <t xml:space="preserve">HCM – Talent</t>
  </si>
  <si>
    <t xml:space="preserve">Recruitment &amp; Candidate Management</t>
  </si>
  <si>
    <t xml:space="preserve">Performance Management &amp; Goal Setting</t>
  </si>
  <si>
    <t xml:space="preserve">Learning Management (OLM)</t>
  </si>
  <si>
    <t xml:space="preserve">HCM – Benefits</t>
  </si>
  <si>
    <t xml:space="preserve">Benefit Plans &amp; Eligibility</t>
  </si>
  <si>
    <t xml:space="preserve">ERP – Financials</t>
  </si>
  <si>
    <t xml:space="preserve">Accounts Receivable</t>
  </si>
  <si>
    <t xml:space="preserve">Fixed Assets</t>
  </si>
  <si>
    <t xml:space="preserve">Cash Management &amp; Banking</t>
  </si>
  <si>
    <t xml:space="preserve">Intercompany &amp; Consolidation</t>
  </si>
  <si>
    <t xml:space="preserve">Tax (GTAX / Avalara Integration)</t>
  </si>
  <si>
    <t xml:space="preserve">Technical Lead</t>
  </si>
  <si>
    <t xml:space="preserve">Expense Management (OIE/iExpense)</t>
  </si>
  <si>
    <t xml:space="preserve">ERP – Procurement</t>
  </si>
  <si>
    <t xml:space="preserve">Purchasing &amp; Sourcing</t>
  </si>
  <si>
    <t xml:space="preserve">Supplier Portal &amp; Self-Service</t>
  </si>
  <si>
    <t xml:space="preserve">Contract Management</t>
  </si>
  <si>
    <t xml:space="preserve">SCM</t>
  </si>
  <si>
    <t xml:space="preserve">Inventory Management</t>
  </si>
  <si>
    <t xml:space="preserve">Order Management</t>
  </si>
  <si>
    <t xml:space="preserve">Supply Chain Planning (SCP/S&amp;OP)</t>
  </si>
  <si>
    <t xml:space="preserve">Manufacturing (WIP/BOM/Routing)</t>
  </si>
  <si>
    <t xml:space="preserve">Quality Management</t>
  </si>
  <si>
    <t xml:space="preserve">Warehouse Management (WMS)</t>
  </si>
  <si>
    <t xml:space="preserve">Procurement Contracts</t>
  </si>
  <si>
    <t xml:space="preserve">CX – Sales</t>
  </si>
  <si>
    <t xml:space="preserve">Opportunity &amp; Pipeline Management</t>
  </si>
  <si>
    <t xml:space="preserve">Configure Price Quote (CPQ)</t>
  </si>
  <si>
    <t xml:space="preserve">CX – Service</t>
  </si>
  <si>
    <t xml:space="preserve">Service Requests &amp; Case Management</t>
  </si>
  <si>
    <t xml:space="preserve">CX – Marketing</t>
  </si>
  <si>
    <t xml:space="preserve">Campaign &amp; Lead Management (Eloqua)</t>
  </si>
  <si>
    <t xml:space="preserve">EPM</t>
  </si>
  <si>
    <t xml:space="preserve">Planning &amp; Budgeting (EPBCS)</t>
  </si>
  <si>
    <t xml:space="preserve">Financial Consolidation (FCCS)</t>
  </si>
  <si>
    <t xml:space="preserve">Account Reconciliation (ARCS)</t>
  </si>
  <si>
    <t xml:space="preserve">Profitability &amp; Cost Management (PCM)</t>
  </si>
  <si>
    <t xml:space="preserve">Integration</t>
  </si>
  <si>
    <t xml:space="preserve">REST/SOAP API Integrations (Simple)</t>
  </si>
  <si>
    <t xml:space="preserve">Real-Time / Event-Driven Integrations (Complex)</t>
  </si>
  <si>
    <t xml:space="preserve">OIC Flow Design &amp; Orchestration</t>
  </si>
  <si>
    <t xml:space="preserve">Legacy ERP / Custom App Integration</t>
  </si>
  <si>
    <t xml:space="preserve">Data Extraction &amp; Profiling</t>
  </si>
  <si>
    <t xml:space="preserve">Data Cleansing &amp; Transformation</t>
  </si>
  <si>
    <t xml:space="preserve">FBDI/HDL Template Build (per object)</t>
  </si>
  <si>
    <t xml:space="preserve">Migration Trial Loads &amp; Reconciliation</t>
  </si>
  <si>
    <t xml:space="preserve">Cutover Plan &amp; Execution</t>
  </si>
  <si>
    <t xml:space="preserve">Reporting</t>
  </si>
  <si>
    <t xml:space="preserve">OTBI/BIP Standard Reports</t>
  </si>
  <si>
    <t xml:space="preserve">Custom BI Reports (complex)</t>
  </si>
  <si>
    <t xml:space="preserve">OTBI Subject Area Extension</t>
  </si>
  <si>
    <t xml:space="preserve">Oracle Analytics Cloud (OAC) Dashboards</t>
  </si>
  <si>
    <t xml:space="preserve">Security</t>
  </si>
  <si>
    <t xml:space="preserve">Role Design &amp; RBAC Model</t>
  </si>
  <si>
    <t xml:space="preserve">User Provisioning &amp; SSO</t>
  </si>
  <si>
    <t xml:space="preserve">SoD Conflict Analysis &amp; Remediation</t>
  </si>
  <si>
    <t xml:space="preserve">Testing &amp; QA</t>
  </si>
  <si>
    <t xml:space="preserve">Test Strategy &amp; Test Plan</t>
  </si>
  <si>
    <t xml:space="preserve">Testing Lead</t>
  </si>
  <si>
    <t xml:space="preserve">Test Script Development</t>
  </si>
  <si>
    <t xml:space="preserve">System Integration Testing (SIT)</t>
  </si>
  <si>
    <t xml:space="preserve">User Acceptance Testing (UAT) Facilitation</t>
  </si>
  <si>
    <t xml:space="preserve">Performance &amp; Load Testing</t>
  </si>
  <si>
    <t xml:space="preserve">OCM &amp; Training</t>
  </si>
  <si>
    <t xml:space="preserve">Change Impact Assessment</t>
  </si>
  <si>
    <t xml:space="preserve">Prosci/ACMP</t>
  </si>
  <si>
    <t xml:space="preserve">Change Management Lead</t>
  </si>
  <si>
    <t xml:space="preserve">Stakeholder Engagement &amp; Comms</t>
  </si>
  <si>
    <t xml:space="preserve">End-User Training Delivery</t>
  </si>
  <si>
    <t xml:space="preserve">Programme Mgmt</t>
  </si>
  <si>
    <t xml:space="preserve">Project Management (end-to-end)</t>
  </si>
  <si>
    <t xml:space="preserve">PMI PMBOK</t>
  </si>
  <si>
    <t xml:space="preserve">Governance &amp; Steering</t>
  </si>
  <si>
    <t xml:space="preserve">Programme Director</t>
  </si>
  <si>
    <t xml:space="preserve">Risk &amp; Issue Management</t>
  </si>
  <si>
    <t xml:space="preserve">Architecture Governance &amp; Reviews</t>
  </si>
  <si>
    <t xml:space="preserve">Infrastructure &amp; Cloud Setup (OCI)</t>
  </si>
  <si>
    <t xml:space="preserve">Infrastructure Engineer</t>
  </si>
  <si>
    <t xml:space="preserve">TOTAL BASE EFFORT (BEFORE CONTINGENCY)</t>
  </si>
  <si>
    <t xml:space="preserve">TOTAL WITH CONTINGENCY (+ 15% from Assumptions C13)</t>
  </si>
  <si>
    <t xml:space="preserve">INDUSTRY BENCHMARK LIBRARY — Oracle Fusion Cloud Implementation Unit Rates</t>
  </si>
  <si>
    <t xml:space="preserve">EVEREST GROUP — Oracle Fusion HCM/ERP Cloud (2023 Enterprise Adoption Report)</t>
  </si>
  <si>
    <t xml:space="preserve">Benchmark Item</t>
  </si>
  <si>
    <t xml:space="preserve">Category</t>
  </si>
  <si>
    <t xml:space="preserve">Typical</t>
  </si>
  <si>
    <t xml:space="preserve">Context / Notes</t>
  </si>
  <si>
    <t xml:space="preserve">HCM Core HR setup (single country)</t>
  </si>
  <si>
    <t xml:space="preserve">Module Setup</t>
  </si>
  <si>
    <t xml:space="preserve">Man-days</t>
  </si>
  <si>
    <t xml:space="preserve">Mid-Market (2,500–10,000 EE)</t>
  </si>
  <si>
    <t xml:space="preserve">HCM Payroll (complex fast formulas)</t>
  </si>
  <si>
    <t xml:space="preserve">Enterprise, multiple pay-groups</t>
  </si>
  <si>
    <t xml:space="preserve">Financials GL / CoA Design</t>
  </si>
  <si>
    <t xml:space="preserve">Configuration</t>
  </si>
  <si>
    <t xml:space="preserve">Multi-entity, shared services</t>
  </si>
  <si>
    <t xml:space="preserve">AP Full Configuration</t>
  </si>
  <si>
    <t xml:space="preserve">Standard 3-way match</t>
  </si>
  <si>
    <t xml:space="preserve">Integration – Simple (FBDI/REST batch)</t>
  </si>
  <si>
    <t xml:space="preserve">Per interface object</t>
  </si>
  <si>
    <t xml:space="preserve">Integration – Complex (real-time OIC)</t>
  </si>
  <si>
    <t xml:space="preserve">Bidirectional, orchestrated</t>
  </si>
  <si>
    <t xml:space="preserve">Data Migration – FBDI object (cleanse+load)</t>
  </si>
  <si>
    <t xml:space="preserve">Per migration object</t>
  </si>
  <si>
    <t xml:space="preserve">OTBI Standard Report</t>
  </si>
  <si>
    <t xml:space="preserve">OOB subject area</t>
  </si>
  <si>
    <t xml:space="preserve">Custom BIP/OTBI Complex Report</t>
  </si>
  <si>
    <t xml:space="preserve">With calculations, joins</t>
  </si>
  <si>
    <t xml:space="preserve">End-User Training (hrs/user)</t>
  </si>
  <si>
    <t xml:space="preserve">Training</t>
  </si>
  <si>
    <t xml:space="preserve">Hours</t>
  </si>
  <si>
    <t xml:space="preserve">Role-based; blended delivery</t>
  </si>
  <si>
    <t xml:space="preserve">Hypercare Support (per module/month)</t>
  </si>
  <si>
    <t xml:space="preserve">Post Go-Live</t>
  </si>
  <si>
    <t xml:space="preserve">Stabilisation period</t>
  </si>
  <si>
    <t xml:space="preserve">FORRESTER TEI — Oracle Cloud ERP/HCM Implementations (2022–2024 Composite)</t>
  </si>
  <si>
    <t xml:space="preserve">Programme Management overhead</t>
  </si>
  <si>
    <t xml:space="preserve">PM</t>
  </si>
  <si>
    <t xml:space="preserve">% effort</t>
  </si>
  <si>
    <t xml:space="preserve">Of total delivery effort</t>
  </si>
  <si>
    <t xml:space="preserve">ERP Financials – full pillar</t>
  </si>
  <si>
    <t xml:space="preserve">Module</t>
  </si>
  <si>
    <t xml:space="preserve">GL/AP/AR/FA/CM – enterprise</t>
  </si>
  <si>
    <t xml:space="preserve">HCM – full pillar (HR+Pay+Talent)</t>
  </si>
  <si>
    <t xml:space="preserve">Global, multi-country payroll</t>
  </si>
  <si>
    <t xml:space="preserve">SCM – full pillar</t>
  </si>
  <si>
    <t xml:space="preserve">Mfg+OMS+Planning+WMS</t>
  </si>
  <si>
    <t xml:space="preserve">Integration effort (% of total)</t>
  </si>
  <si>
    <t xml:space="preserve">Typical integration ratio</t>
  </si>
  <si>
    <t xml:space="preserve">Data Migration (% of total)</t>
  </si>
  <si>
    <t xml:space="preserve">Of total project effort</t>
  </si>
  <si>
    <t xml:space="preserve">Testing (% of total)</t>
  </si>
  <si>
    <t xml:space="preserve">Testing</t>
  </si>
  <si>
    <t xml:space="preserve">SIT+UAT+Perf</t>
  </si>
  <si>
    <t xml:space="preserve">OCM / Change (% of total)</t>
  </si>
  <si>
    <t xml:space="preserve">OCM</t>
  </si>
  <si>
    <t xml:space="preserve">Incl. comms, training</t>
  </si>
  <si>
    <t xml:space="preserve">Security &amp; Role Design (enterprise)</t>
  </si>
  <si>
    <t xml:space="preserve">RBAC design + SoD</t>
  </si>
  <si>
    <t xml:space="preserve">EPM Planning (EPBCS)</t>
  </si>
  <si>
    <t xml:space="preserve">Enterprise planning + budgeting</t>
  </si>
  <si>
    <t xml:space="preserve">GARTNER — ERP Cloud Deployment Benchmarks (2022 Magic Quadrant Companion)</t>
  </si>
  <si>
    <t xml:space="preserve">Overall project duration – mid-market</t>
  </si>
  <si>
    <t xml:space="preserve">Timeline</t>
  </si>
  <si>
    <t xml:space="preserve">Months</t>
  </si>
  <si>
    <t xml:space="preserve">5–8 modules, 1–3 entities</t>
  </si>
  <si>
    <t xml:space="preserve">Overall project duration – enterprise</t>
  </si>
  <si>
    <t xml:space="preserve">Full suite, multi-country</t>
  </si>
  <si>
    <t xml:space="preserve">Effort: Vendor PS vs SI split</t>
  </si>
  <si>
    <t xml:space="preserve">Resourcing</t>
  </si>
  <si>
    <t xml:space="preserve">% SI</t>
  </si>
  <si>
    <t xml:space="preserve">Oracle PS typically 20-30%</t>
  </si>
  <si>
    <t xml:space="preserve">CEMLI (custom ext.) per project avg</t>
  </si>
  <si>
    <t xml:space="preserve">Customisation</t>
  </si>
  <si>
    <t xml:space="preserve">Count</t>
  </si>
  <si>
    <t xml:space="preserve">Best practice: minimise</t>
  </si>
  <si>
    <t xml:space="preserve">Integration count – mid-market</t>
  </si>
  <si>
    <t xml:space="preserve">ERP + HCM + legacy</t>
  </si>
  <si>
    <t xml:space="preserve">Integration count – enterprise</t>
  </si>
  <si>
    <t xml:space="preserve">Full enterprise landscape</t>
  </si>
  <si>
    <t xml:space="preserve">Test cycles (SIT rounds)</t>
  </si>
  <si>
    <t xml:space="preserve">Rounds</t>
  </si>
  <si>
    <t xml:space="preserve">Typical SIT iterations</t>
  </si>
  <si>
    <t xml:space="preserve">UAT duration</t>
  </si>
  <si>
    <t xml:space="preserve">Weeks</t>
  </si>
  <si>
    <t xml:space="preserve">Business-led UAT window</t>
  </si>
  <si>
    <t xml:space="preserve">Cutover window</t>
  </si>
  <si>
    <t xml:space="preserve">Cutover</t>
  </si>
  <si>
    <t xml:space="preserve">Weekends</t>
  </si>
  <si>
    <t xml:space="preserve">Hard cutover + parallel run</t>
  </si>
  <si>
    <t xml:space="preserve">Hypercare period</t>
  </si>
  <si>
    <t xml:space="preserve">L1/L2 hyper support</t>
  </si>
  <si>
    <t xml:space="preserve">Total cost of ownership – 3yr uplift</t>
  </si>
  <si>
    <t xml:space="preserve">Finance</t>
  </si>
  <si>
    <t xml:space="preserve">% vs on-prem</t>
  </si>
  <si>
    <t xml:space="preserve">TCO comparison cloud vs legacy</t>
  </si>
  <si>
    <t xml:space="preserve">SFIA v8 / ITSM — Oracle Cloud Technical Benchmarks</t>
  </si>
  <si>
    <t xml:space="preserve">Solution Architect productivity (days/design point)</t>
  </si>
  <si>
    <t xml:space="preserve">Architecture</t>
  </si>
  <si>
    <t xml:space="preserve">Days</t>
  </si>
  <si>
    <t xml:space="preserve">Per significant design decision</t>
  </si>
  <si>
    <t xml:space="preserve">Developer productivity (CEMLI, days/extension)</t>
  </si>
  <si>
    <t xml:space="preserve">Development</t>
  </si>
  <si>
    <t xml:space="preserve">Per custom extension object</t>
  </si>
  <si>
    <t xml:space="preserve">Report development (hrs/report)</t>
  </si>
  <si>
    <t xml:space="preserve">Complex analytics report</t>
  </si>
  <si>
    <t xml:space="preserve">OIC integration flow build</t>
  </si>
  <si>
    <t xml:space="preserve">Per integration flow</t>
  </si>
  <si>
    <t xml:space="preserve">Test case development (hrs/test)</t>
  </si>
  <si>
    <t xml:space="preserve">Per functional test case</t>
  </si>
  <si>
    <t xml:space="preserve">Test execution (hrs/test/cycle)</t>
  </si>
  <si>
    <t xml:space="preserve">Per test case per cycle</t>
  </si>
  <si>
    <t xml:space="preserve">Training material (hrs/hr of content)</t>
  </si>
  <si>
    <t xml:space="preserve">Development to delivery ratio</t>
  </si>
  <si>
    <t xml:space="preserve">Knowledge transfer (days/consultant)</t>
  </si>
  <si>
    <t xml:space="preserve">KT</t>
  </si>
  <si>
    <t xml:space="preserve">Per senior resource</t>
  </si>
  <si>
    <t xml:space="preserve">CONSOLIDATED EFFORT SUMMARY — By Module &amp; SDLC Phase</t>
  </si>
  <si>
    <t xml:space="preserve">A. EFFORT BY MODULE (Days — Adjusted for Complexity + Contingency)</t>
  </si>
  <si>
    <t xml:space="preserve">Complexity
Adj. (Days)</t>
  </si>
  <si>
    <t xml:space="preserve">Contingency
(Days)</t>
  </si>
  <si>
    <t xml:space="preserve">Total Effort
(Days)</t>
  </si>
  <si>
    <t xml:space="preserve">% of Total</t>
  </si>
  <si>
    <t xml:space="preserve">Est. Duration
(weeks)</t>
  </si>
  <si>
    <t xml:space="preserve">Avg FTE
Required</t>
  </si>
  <si>
    <t xml:space="preserve">Key Roles</t>
  </si>
  <si>
    <t xml:space="preserve">TOTAL</t>
  </si>
  <si>
    <t xml:space="preserve">B. EFFORT BY SDLC PHASE</t>
  </si>
  <si>
    <t xml:space="preserve">% Split</t>
  </si>
  <si>
    <t xml:space="preserve">Effort (Days)</t>
  </si>
  <si>
    <t xml:space="preserve">Effort (Hours)</t>
  </si>
  <si>
    <t xml:space="preserve">Elapsed Weeks</t>
  </si>
  <si>
    <t xml:space="preserve">Avg FTE</t>
  </si>
  <si>
    <t xml:space="preserve">Inception/Mobilise</t>
  </si>
  <si>
    <t xml:space="preserve">Discover &amp; Assess</t>
  </si>
  <si>
    <t xml:space="preserve">Design (Blueprint)</t>
  </si>
  <si>
    <t xml:space="preserve">Go-Live / Cutover</t>
  </si>
  <si>
    <t xml:space="preserve">FTE LOADING PLAN &amp; ROLE MAPPING — Oracle Fusion Cloud Implementation</t>
  </si>
  <si>
    <t xml:space="preserve">Month columns assume 18-month project (adjust in Assumptions). FTE = Effort Days / (20 working days/month).</t>
  </si>
  <si>
    <t xml:space="preserve">A. ROLE DEFINITION &amp; RESPONSIBILITIES</t>
  </si>
  <si>
    <t xml:space="preserve">Role</t>
  </si>
  <si>
    <t xml:space="preserve">Level</t>
  </si>
  <si>
    <t xml:space="preserve">Key Responsibilities</t>
  </si>
  <si>
    <t xml:space="preserve">Avg Daily Rate (Blended)</t>
  </si>
  <si>
    <t xml:space="preserve">Total Effort (Days)</t>
  </si>
  <si>
    <t xml:space="preserve">Peak FTE</t>
  </si>
  <si>
    <t xml:space="preserve">Partner</t>
  </si>
  <si>
    <t xml:space="preserve">Overall programme governance, exec steering, P&amp;L</t>
  </si>
  <si>
    <t xml:space="preserve">End-to-end architecture, integration design, governance</t>
  </si>
  <si>
    <t xml:space="preserve">HCM Functional Lead</t>
  </si>
  <si>
    <t xml:space="preserve">Lead HCM stream: Core HR, Payroll, Talent, Benefits</t>
  </si>
  <si>
    <t xml:space="preserve">Finance Functional Lead</t>
  </si>
  <si>
    <t xml:space="preserve">Lead Finance stream: GL, AP, AR, FA, Tax</t>
  </si>
  <si>
    <t xml:space="preserve">SCM Functional Lead</t>
  </si>
  <si>
    <t xml:space="preserve">Lead SCM: Inventory, OMS, Manufacturing, WMS</t>
  </si>
  <si>
    <t xml:space="preserve">Technical/Integration Lead</t>
  </si>
  <si>
    <t xml:space="preserve">OIC design, CEMLI builds, API governance</t>
  </si>
  <si>
    <t xml:space="preserve">Functional Consultant x3</t>
  </si>
  <si>
    <t xml:space="preserve">Module configuration, CRP facilitation, UAT support</t>
  </si>
  <si>
    <t xml:space="preserve">Functional Consultant x4</t>
  </si>
  <si>
    <t xml:space="preserve">Config, testing, training, data migration tasks</t>
  </si>
  <si>
    <t xml:space="preserve">Technical Developer x2</t>
  </si>
  <si>
    <t xml:space="preserve">CEMLI, OIC flows, BIP/OTBI reports, security roles</t>
  </si>
  <si>
    <t xml:space="preserve">Extract, cleanse, FBDI build, trial loads, reconciliation</t>
  </si>
  <si>
    <t xml:space="preserve">OCM strategy, comms, training design, readiness assessment</t>
  </si>
  <si>
    <t xml:space="preserve">Test strategy, SIT/UAT management, defect triage</t>
  </si>
  <si>
    <t xml:space="preserve">OCI setup, SSO, security patching, performance</t>
  </si>
  <si>
    <t xml:space="preserve">Plan, RAID, governance packs, steering reporting</t>
  </si>
  <si>
    <t xml:space="preserve">B. MONTHLY FTE RAMP PLAN (18-Month Programme)</t>
  </si>
  <si>
    <t xml:space="preserve">Role / Phase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</si>
  <si>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</si>
  <si>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</si>
  <si>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</si>
  <si>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</si>
  <si>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</si>
  <si>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</si>
  <si>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</si>
  <si>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</si>
  <si>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</si>
  <si>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</si>
  <si>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</si>
  <si>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</si>
  <si>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</si>
  <si>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</si>
  <si>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</si>
  <si>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</si>
  <si>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</si>
  <si>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</si>
  <si>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Total Days</t>
  </si>
  <si>
    <t xml:space="preserve">Technical/Integ. Lead</t>
  </si>
  <si>
    <t xml:space="preserve">Functional Consultants</t>
  </si>
  <si>
    <t xml:space="preserve">Technical Developers</t>
  </si>
  <si>
    <t xml:space="preserve">Change Mgmt Lead</t>
  </si>
  <si>
    <t xml:space="preserve">TOTAL FTE (per month)</t>
  </si>
  <si>
    <t xml:space="preserve">ESTIMATION ASSUMPTIONS, EXCLUSIONS &amp; RISK REGISTER</t>
  </si>
  <si>
    <t xml:space="preserve">A. STANDARD ESTIMATION ASSUMPTIONS</t>
  </si>
  <si>
    <t xml:space="preserve">Oracle Fusion Cloud is the confirmed target platform; no on-premise deployment</t>
  </si>
  <si>
    <t xml:space="preserve">Scope</t>
  </si>
  <si>
    <t xml:space="preserve">Effort covers System Integrator (SI) delivery only; Oracle Product Support and Client internal effort are excluded unless stated</t>
  </si>
  <si>
    <t xml:space="preserve">All modules listed in the Assumptions tab are in scope; any additions will require re-estimation</t>
  </si>
  <si>
    <t xml:space="preserve">Client SMEs will be available ≥40% of their time during Discover, Design, and UAT phases</t>
  </si>
  <si>
    <t xml:space="preserve">Access</t>
  </si>
  <si>
    <t xml:space="preserve">Client will provide timely access to legacy system data, current process documentation, and IT environments</t>
  </si>
  <si>
    <t xml:space="preserve">Business decisions on process design and configuration choices will be made within 5 business days of presentation</t>
  </si>
  <si>
    <t xml:space="preserve">Decisions</t>
  </si>
  <si>
    <t xml:space="preserve">Source data quality is assumed acceptable; poor data quality requiring extensive cleansing will add effort</t>
  </si>
  <si>
    <t xml:space="preserve">Data</t>
  </si>
  <si>
    <t xml:space="preserve">Number of data migration objects is as stated in Assumptions tab; additions will be change-controlled</t>
  </si>
  <si>
    <t xml:space="preserve">Integration count and complexity as stated; major undiscovered interfaces will be change-controlled</t>
  </si>
  <si>
    <t xml:space="preserve">Integrations</t>
  </si>
  <si>
    <t xml:space="preserve">Third-party system owners will provide API documentation and sandbox environments within 4 weeks of project start</t>
  </si>
  <si>
    <t xml:space="preserve">Oracle Cloud environments (DEV, TEST, PROD) will be provisioned by the client within 2 weeks of project kick-off</t>
  </si>
  <si>
    <t xml:space="preserve">Environment</t>
  </si>
  <si>
    <t xml:space="preserve">Client business users will actively participate in and lead UAT; SI provides facilitation and defect management only</t>
  </si>
  <si>
    <t xml:space="preserve">Training delivery will be conducted in English unless localisation is explicitly in scope</t>
  </si>
  <si>
    <t xml:space="preserve">A single-phase 'big bang' cutover is assumed; phased/parallel run will require additional effort</t>
  </si>
  <si>
    <t xml:space="preserve">Blended onshore/offshore delivery model as per Assumptions tab; changes to mix will affect blended rate</t>
  </si>
  <si>
    <t xml:space="preserve">Daily rates are as per the Rate Card in the Assumptions tab; valid for 12 months from proposal date</t>
  </si>
  <si>
    <t xml:space="preserve">Rates</t>
  </si>
  <si>
    <t xml:space="preserve">15% contingency is included for known unknowns; management reserve of 5% is excluded from this estimate</t>
  </si>
  <si>
    <t xml:space="preserve">Contingency</t>
  </si>
  <si>
    <t xml:space="preserve">No major regulatory change during the project period; any new legislative requirements will be change-controlled</t>
  </si>
  <si>
    <t xml:space="preserve">Regulatory</t>
  </si>
  <si>
    <t xml:space="preserve">B. STANDARD EXCLUSIONS FROM THIS ESTIMATE</t>
  </si>
  <si>
    <t xml:space="preserve">✗  Oracle licensing costs (SaaS subscription fees)</t>
  </si>
  <si>
    <t xml:space="preserve">✗  Client internal resource costs (business SMEs, IT staff time)</t>
  </si>
  <si>
    <t xml:space="preserve">✗  Third-party software licences (middleware, testing tools, BI platforms)</t>
  </si>
  <si>
    <t xml:space="preserve">✗  Infrastructure / hardware costs for retained on-premise systems</t>
  </si>
  <si>
    <t xml:space="preserve">✗  Business process re-engineering (BPR) beyond Oracle standard process adoption</t>
  </si>
  <si>
    <t xml:space="preserve">✗  Post-hypercare ongoing AMS/managed services (separate engagement)</t>
  </si>
  <si>
    <t xml:space="preserve">✗  Country-specific legal/statutory localisation beyond standard Oracle localisation packs</t>
  </si>
  <si>
    <t xml:space="preserve">✗  Legacy system decommissioning and data archival</t>
  </si>
  <si>
    <t xml:space="preserve">✗  Organisational restructuring or headcount change management beyond programme OCM</t>
  </si>
  <si>
    <t xml:space="preserve">✗  Independent Testing/Assurance (ITA) if procured separately</t>
  </si>
  <si>
    <t xml:space="preserve">✗  Oracle Primavera, Agile PLM, or other non-Fusion Cloud products</t>
  </si>
  <si>
    <t xml:space="preserve">C. ESTIMATION RISK REGISTER</t>
  </si>
  <si>
    <t xml:space="preserve">Risk Description</t>
  </si>
  <si>
    <t xml:space="preserve">Probability
(H/M/L)</t>
  </si>
  <si>
    <t xml:space="preserve">Impact
(H/M/L)</t>
  </si>
  <si>
    <t xml:space="preserve">Effort
Adder (%)</t>
  </si>
  <si>
    <t xml:space="preserve">Mitigation</t>
  </si>
  <si>
    <t xml:space="preserve">Scope creep from undiscovered business requirements</t>
  </si>
  <si>
    <t xml:space="preserve">+10%</t>
  </si>
  <si>
    <t xml:space="preserve">Fixed-scope SoW with change control; CRP gates</t>
  </si>
  <si>
    <t xml:space="preserve">Poor data quality in legacy systems requiring extensive cleanse</t>
  </si>
  <si>
    <t xml:space="preserve">+15%</t>
  </si>
  <si>
    <t xml:space="preserve">Data quality assessment in Phase 0; early profiling</t>
  </si>
  <si>
    <t xml:space="preserve">Client SME availability below 40% commitment</t>
  </si>
  <si>
    <t xml:space="preserve">Escalation path to Steering; contractual commitment</t>
  </si>
  <si>
    <t xml:space="preserve">Integration complexity higher than estimated (undiscovered APIs)</t>
  </si>
  <si>
    <t xml:space="preserve">+12%</t>
  </si>
  <si>
    <t xml:space="preserve">Integration discovery workshop in Week 2</t>
  </si>
  <si>
    <t xml:space="preserve">Configuration decisions delayed beyond 5-day SLA</t>
  </si>
  <si>
    <t xml:space="preserve">Governance</t>
  </si>
  <si>
    <t xml:space="preserve">+8%</t>
  </si>
  <si>
    <t xml:space="preserve">Decision log; 48hr escalation to Programme Sponsor</t>
  </si>
  <si>
    <t xml:space="preserve">Regulatory change during project (tax, payroll legislation)</t>
  </si>
  <si>
    <t xml:space="preserve">Change control; buffer in payroll and tax streams</t>
  </si>
  <si>
    <t xml:space="preserve">Oracle Cloud quarterly update breaking custom configuration</t>
  </si>
  <si>
    <t xml:space="preserve">Technical</t>
  </si>
  <si>
    <t xml:space="preserve">+5%</t>
  </si>
  <si>
    <t xml:space="preserve">Regression test suite; Oracle release calendar monitoring</t>
  </si>
  <si>
    <t xml:space="preserve">Cutover complexity greater than estimated (data volumes/reconciliation)</t>
  </si>
  <si>
    <t xml:space="preserve">Mock cutover rehearsal; 2 dry runs planned</t>
  </si>
  <si>
    <t xml:space="preserve">Key SI resources leave mid-project</t>
  </si>
  <si>
    <t xml:space="preserve">Knowledge capture; redundancy in leads; succession plan</t>
  </si>
  <si>
    <t xml:space="preserve">Third-party system owners unresponsive for integration testing</t>
  </si>
  <si>
    <t xml:space="preserve">SLA in integration agreement; early engagement</t>
  </si>
  <si>
    <t xml:space="preserve">Oracle environment provisioning delays (OCI setup)</t>
  </si>
  <si>
    <t xml:space="preserve">Cloud readiness checklist; OCI fast-track provisioning</t>
  </si>
  <si>
    <t xml:space="preserve">User adoption risk – resistance to new processes</t>
  </si>
  <si>
    <t xml:space="preserve">OCM strategy; change champion network; early UAT involvement</t>
  </si>
  <si>
    <t xml:space="preserve">Multi-country payroll localisation more complex than estimated</t>
  </si>
  <si>
    <t xml:space="preserve">+20%</t>
  </si>
  <si>
    <t xml:space="preserve">Country-specific discovery session; local tax expert</t>
  </si>
  <si>
    <t xml:space="preserve">Report/analytics demand exceeds estimate (scope creep)</t>
  </si>
  <si>
    <t xml:space="preserve">Reporting catalogue fixed in Design; CR for additions</t>
  </si>
  <si>
    <t xml:space="preserve">COMMERCIAL COST MODEL — Oracle Fusion Cloud Implementation</t>
  </si>
  <si>
    <t xml:space="preserve">A. EFFORT-TO-COST BRIDGE BY ROLE BAND</t>
  </si>
  <si>
    <t xml:space="preserve">Onshore Rate
($/day)</t>
  </si>
  <si>
    <t xml:space="preserve">Offshore Rate
($/day)</t>
  </si>
  <si>
    <t xml:space="preserve">Blended Rate
($/day)</t>
  </si>
  <si>
    <t xml:space="preserve">Onshore Cost ($)</t>
  </si>
  <si>
    <t xml:space="preserve">Offshore Cost ($)</t>
  </si>
  <si>
    <t xml:space="preserve">Total Cost ($)</t>
  </si>
  <si>
    <t xml:space="preserve">Technical / Integ. Lead</t>
  </si>
  <si>
    <t xml:space="preserve">BASE DELIVERY COST (before contingency)</t>
  </si>
  <si>
    <t xml:space="preserve">CONTINGENCY (15% — Assumptions C14)</t>
  </si>
  <si>
    <t xml:space="preserve">TOTAL ESTIMATED ENGAGEMENT COST</t>
  </si>
  <si>
    <t xml:space="preserve">MANAGEMENT RESERVE (5% — advisory only, not included above)</t>
  </si>
  <si>
    <t xml:space="preserve">B. INDICATIVE COST BY SDLC PHASE</t>
  </si>
  <si>
    <t xml:space="preserve">Phase Cost ($)</t>
  </si>
</sst>
</file>

<file path=xl/styles.xml><?xml version="1.0" encoding="utf-8"?>
<styleSheet xmlns="http://schemas.openxmlformats.org/spreadsheetml/2006/main">
  <numFmts count="6">
    <numFmt numFmtId="164" formatCode="General"/>
    <numFmt numFmtId="165" formatCode="\$#,##0"/>
    <numFmt numFmtId="166" formatCode="0.0"/>
    <numFmt numFmtId="167" formatCode="0%"/>
    <numFmt numFmtId="168" formatCode="#,##0.0"/>
    <numFmt numFmtId="169" formatCode="#,##0"/>
  </numFmts>
  <fonts count="52">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i val="true"/>
      <sz val="13"/>
      <color rgb="FFFFFFFF"/>
      <name val="Arial"/>
      <family val="0"/>
      <charset val="1"/>
    </font>
    <font>
      <b val="true"/>
      <sz val="11"/>
      <color rgb="FFFFFFFF"/>
      <name val="Arial"/>
      <family val="0"/>
      <charset val="1"/>
    </font>
    <font>
      <sz val="10"/>
      <color rgb="FF000000"/>
      <name val="Arial"/>
      <family val="0"/>
      <charset val="1"/>
    </font>
    <font>
      <b val="true"/>
      <sz val="9"/>
      <color rgb="FFFFFFFF"/>
      <name val="Arial"/>
      <family val="0"/>
      <charset val="1"/>
    </font>
    <font>
      <b val="true"/>
      <sz val="9"/>
      <color rgb="FFC74634"/>
      <name val="Arial"/>
      <family val="0"/>
      <charset val="1"/>
    </font>
    <font>
      <sz val="9"/>
      <color rgb="FF000000"/>
      <name val="Arial"/>
      <family val="0"/>
      <charset val="1"/>
    </font>
    <font>
      <b val="true"/>
      <sz val="9"/>
      <color rgb="FF424242"/>
      <name val="Arial"/>
      <family val="0"/>
      <charset val="1"/>
    </font>
    <font>
      <b val="true"/>
      <sz val="10"/>
      <color rgb="FF8B0000"/>
      <name val="Arial"/>
      <family val="0"/>
      <charset val="1"/>
    </font>
    <font>
      <sz val="9"/>
      <color rgb="FF424242"/>
      <name val="Arial"/>
      <family val="0"/>
      <charset val="1"/>
    </font>
    <font>
      <b val="true"/>
      <sz val="10"/>
      <color rgb="FFFFFFFF"/>
      <name val="Arial"/>
      <family val="0"/>
      <charset val="1"/>
    </font>
    <font>
      <b val="true"/>
      <sz val="10"/>
      <color rgb="FFF5A623"/>
      <name val="Arial"/>
      <family val="0"/>
      <charset val="1"/>
    </font>
    <font>
      <i val="true"/>
      <sz val="9"/>
      <color rgb="FF757575"/>
      <name val="Arial"/>
      <family val="0"/>
      <charset val="1"/>
    </font>
    <font>
      <b val="true"/>
      <sz val="9"/>
      <color rgb="FFF5A623"/>
      <name val="Arial"/>
      <family val="0"/>
      <charset val="1"/>
    </font>
    <font>
      <i val="true"/>
      <sz val="8"/>
      <color rgb="FF1565C0"/>
      <name val="Arial"/>
      <family val="0"/>
      <charset val="1"/>
    </font>
    <font>
      <b val="true"/>
      <sz val="9"/>
      <color rgb="FF2E7D32"/>
      <name val="Arial"/>
      <family val="0"/>
      <charset val="1"/>
    </font>
    <font>
      <b val="true"/>
      <sz val="9"/>
      <color rgb="FF1565C0"/>
      <name val="Arial"/>
      <family val="0"/>
      <charset val="1"/>
    </font>
    <font>
      <b val="true"/>
      <sz val="9"/>
      <color rgb="FF6A1B9A"/>
      <name val="Arial"/>
      <family val="0"/>
      <charset val="1"/>
    </font>
    <font>
      <b val="true"/>
      <sz val="9"/>
      <color rgb="FF000000"/>
      <name val="Arial"/>
      <family val="0"/>
      <charset val="1"/>
    </font>
    <font>
      <b val="true"/>
      <sz val="9"/>
      <color rgb="FF8B0000"/>
      <name val="Arial"/>
      <family val="0"/>
      <charset val="1"/>
    </font>
    <font>
      <i val="true"/>
      <sz val="8"/>
      <color rgb="FFFFFFFF"/>
      <name val="Arial"/>
      <family val="0"/>
      <charset val="1"/>
    </font>
    <font>
      <b val="true"/>
      <sz val="20"/>
      <color rgb="FFFFFFFF"/>
      <name val="Arial"/>
      <family val="0"/>
      <charset val="1"/>
    </font>
    <font>
      <i val="true"/>
      <sz val="12"/>
      <color rgb="FFFFFFFF"/>
      <name val="Arial"/>
      <family val="0"/>
      <charset val="1"/>
    </font>
    <font>
      <b val="true"/>
      <sz val="10"/>
      <color rgb="FF000000"/>
      <name val="Arial"/>
      <family val="0"/>
      <charset val="1"/>
    </font>
    <font>
      <sz val="10"/>
      <color rgb="FFF5A623"/>
      <name val="Arial"/>
      <family val="0"/>
      <charset val="1"/>
    </font>
    <font>
      <sz val="10"/>
      <color rgb="FF1565C0"/>
      <name val="Arial"/>
      <family val="0"/>
      <charset val="1"/>
    </font>
    <font>
      <b val="true"/>
      <sz val="13"/>
      <color rgb="FFFFFFFF"/>
      <name val="Arial"/>
      <family val="0"/>
      <charset val="1"/>
    </font>
    <font>
      <i val="true"/>
      <sz val="8"/>
      <color rgb="FF757575"/>
      <name val="Arial"/>
      <family val="0"/>
      <charset val="1"/>
    </font>
    <font>
      <b val="true"/>
      <sz val="10"/>
      <color rgb="FF1565C0"/>
      <name val="Arial"/>
      <family val="0"/>
      <charset val="1"/>
    </font>
    <font>
      <b val="true"/>
      <sz val="8"/>
      <color rgb="FFFFFFFF"/>
      <name val="Arial"/>
      <family val="0"/>
      <charset val="1"/>
    </font>
    <font>
      <sz val="8"/>
      <color rgb="FF424242"/>
      <name val="Arial"/>
      <family val="0"/>
      <charset val="1"/>
    </font>
    <font>
      <i val="true"/>
      <sz val="8"/>
      <color rgb="FF00695C"/>
      <name val="Arial"/>
      <family val="0"/>
      <charset val="1"/>
    </font>
    <font>
      <i val="true"/>
      <sz val="8"/>
      <color rgb="FF6A1B9A"/>
      <name val="Arial"/>
      <family val="0"/>
      <charset val="1"/>
    </font>
    <font>
      <i val="true"/>
      <sz val="9"/>
      <color rgb="FF000000"/>
      <name val="Arial"/>
      <family val="0"/>
      <charset val="1"/>
    </font>
    <font>
      <sz val="8"/>
      <color rgb="FF757575"/>
      <name val="Arial"/>
      <family val="0"/>
      <charset val="1"/>
    </font>
    <font>
      <b val="true"/>
      <sz val="10"/>
      <color rgb="FF2E7D32"/>
      <name val="Arial"/>
      <family val="0"/>
      <charset val="1"/>
    </font>
    <font>
      <i val="true"/>
      <sz val="8"/>
      <color rgb="FF2E7D32"/>
      <name val="Arial"/>
      <family val="0"/>
      <charset val="1"/>
    </font>
    <font>
      <b val="true"/>
      <sz val="10"/>
      <color rgb="FFC74634"/>
      <name val="Arial"/>
      <family val="0"/>
      <charset val="1"/>
    </font>
    <font>
      <i val="true"/>
      <sz val="8"/>
      <color rgb="FFC74634"/>
      <name val="Arial"/>
      <family val="0"/>
      <charset val="1"/>
    </font>
    <font>
      <i val="true"/>
      <sz val="8"/>
      <color rgb="FF8B0000"/>
      <name val="Arial"/>
      <family val="0"/>
      <charset val="1"/>
    </font>
    <font>
      <sz val="9"/>
      <color rgb="FF1565C0"/>
      <name val="Arial"/>
      <family val="0"/>
      <charset val="1"/>
    </font>
    <font>
      <sz val="8"/>
      <color rgb="FF000000"/>
      <name val="Arial"/>
      <family val="0"/>
      <charset val="1"/>
    </font>
    <font>
      <i val="true"/>
      <sz val="8"/>
      <color rgb="FF000000"/>
      <name val="Arial"/>
      <family val="0"/>
      <charset val="1"/>
    </font>
    <font>
      <sz val="9"/>
      <color rgb="FF2E7D32"/>
      <name val="Arial"/>
      <family val="0"/>
      <charset val="1"/>
    </font>
    <font>
      <sz val="9"/>
      <color rgb="FF757575"/>
      <name val="Arial"/>
      <family val="0"/>
      <charset val="1"/>
    </font>
    <font>
      <i val="true"/>
      <sz val="8"/>
      <color rgb="FFF5A623"/>
      <name val="Arial"/>
      <family val="0"/>
      <charset val="1"/>
    </font>
    <font>
      <sz val="9"/>
      <color rgb="FF6A1B9A"/>
      <name val="Arial"/>
      <family val="0"/>
      <charset val="1"/>
    </font>
    <font>
      <b val="true"/>
      <sz val="12"/>
      <color rgb="FFFFFFFF"/>
      <name val="Arial"/>
      <family val="0"/>
      <charset val="1"/>
    </font>
  </fonts>
  <fills count="18">
    <fill>
      <patternFill patternType="none"/>
    </fill>
    <fill>
      <patternFill patternType="gray125"/>
    </fill>
    <fill>
      <patternFill patternType="solid">
        <fgColor rgb="FF8B0000"/>
        <bgColor rgb="FF800000"/>
      </patternFill>
    </fill>
    <fill>
      <patternFill patternType="solid">
        <fgColor rgb="FFC74634"/>
        <bgColor rgb="FF993366"/>
      </patternFill>
    </fill>
    <fill>
      <patternFill patternType="solid">
        <fgColor rgb="FFE3F2FD"/>
        <bgColor rgb="FFE8F5E9"/>
      </patternFill>
    </fill>
    <fill>
      <patternFill patternType="solid">
        <fgColor rgb="FF424242"/>
        <bgColor rgb="FF333300"/>
      </patternFill>
    </fill>
    <fill>
      <patternFill patternType="solid">
        <fgColor rgb="FFFFF3CD"/>
        <bgColor rgb="FFF5F5F5"/>
      </patternFill>
    </fill>
    <fill>
      <patternFill patternType="solid">
        <fgColor rgb="FFE8F5E9"/>
        <bgColor rgb="FFE3F2FD"/>
      </patternFill>
    </fill>
    <fill>
      <patternFill patternType="solid">
        <fgColor rgb="FFF3E5F5"/>
        <bgColor rgb="FFF9E0DC"/>
      </patternFill>
    </fill>
    <fill>
      <patternFill patternType="solid">
        <fgColor rgb="FFF5F5F5"/>
        <bgColor rgb="FFE8F5E9"/>
      </patternFill>
    </fill>
    <fill>
      <patternFill patternType="solid">
        <fgColor rgb="FFF9E0DC"/>
        <bgColor rgb="FFF3E5F5"/>
      </patternFill>
    </fill>
    <fill>
      <patternFill patternType="solid">
        <fgColor rgb="FFFFFFFF"/>
        <bgColor rgb="FFF5F5F5"/>
      </patternFill>
    </fill>
    <fill>
      <patternFill patternType="solid">
        <fgColor rgb="FF6A1B9A"/>
        <bgColor rgb="FF800080"/>
      </patternFill>
    </fill>
    <fill>
      <patternFill patternType="solid">
        <fgColor rgb="FFFFEB3B"/>
        <bgColor rgb="FFFFFF00"/>
      </patternFill>
    </fill>
    <fill>
      <patternFill patternType="solid">
        <fgColor rgb="FFF5A623"/>
        <bgColor rgb="FFFFCC00"/>
      </patternFill>
    </fill>
    <fill>
      <patternFill patternType="solid">
        <fgColor rgb="FF1565C0"/>
        <bgColor rgb="FF3366FF"/>
      </patternFill>
    </fill>
    <fill>
      <patternFill patternType="solid">
        <fgColor rgb="FF00695C"/>
        <bgColor rgb="FF008080"/>
      </patternFill>
    </fill>
    <fill>
      <patternFill patternType="solid">
        <fgColor rgb="FF1A237E"/>
        <bgColor rgb="FF333399"/>
      </patternFill>
    </fill>
  </fills>
  <borders count="4">
    <border diagonalUp="false" diagonalDown="false">
      <left/>
      <right/>
      <top/>
      <bottom/>
      <diagonal/>
    </border>
    <border diagonalUp="false" diagonalDown="false">
      <left style="thin">
        <color rgb="FFBDBDBD"/>
      </left>
      <right/>
      <top style="thin">
        <color rgb="FFBDBDBD"/>
      </top>
      <bottom style="thin">
        <color rgb="FFBDBDBD"/>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false" indent="0" shrinkToFit="false"/>
      <protection locked="true" hidden="false"/>
    </xf>
    <xf numFmtId="164" fontId="9" fillId="4" borderId="2" xfId="0" applyFont="true" applyBorder="true" applyAlignment="true" applyProtection="false">
      <alignment horizontal="left" vertical="center" textRotation="0" wrapText="false" indent="0" shrinkToFit="false"/>
      <protection locked="true" hidden="false"/>
    </xf>
    <xf numFmtId="164" fontId="10" fillId="4" borderId="2"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left" vertical="center" textRotation="0" wrapText="false" indent="0" shrinkToFit="false"/>
      <protection locked="true" hidden="false"/>
    </xf>
    <xf numFmtId="164" fontId="10" fillId="6" borderId="2"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9" fillId="7" borderId="2" xfId="0" applyFont="true" applyBorder="true" applyAlignment="true" applyProtection="false">
      <alignment horizontal="left" vertical="center" textRotation="0" wrapText="false" indent="0" shrinkToFit="false"/>
      <protection locked="true" hidden="false"/>
    </xf>
    <xf numFmtId="164" fontId="10" fillId="7" borderId="2"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9" fillId="8" borderId="2" xfId="0" applyFont="true" applyBorder="true" applyAlignment="true" applyProtection="false">
      <alignment horizontal="left" vertical="center" textRotation="0" wrapText="false" indent="0" shrinkToFit="false"/>
      <protection locked="true" hidden="false"/>
    </xf>
    <xf numFmtId="164" fontId="10" fillId="8" borderId="2"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9" fillId="6" borderId="2" xfId="0" applyFont="true" applyBorder="true" applyAlignment="true" applyProtection="false">
      <alignment horizontal="center" vertical="center" textRotation="0" wrapText="false" indent="0" shrinkToFit="false"/>
      <protection locked="true" hidden="false"/>
    </xf>
    <xf numFmtId="164" fontId="12" fillId="6" borderId="2"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7" fillId="6" borderId="2" xfId="0" applyFont="true" applyBorder="true" applyAlignment="true" applyProtection="false">
      <alignment horizontal="left" vertical="center" textRotation="0" wrapText="fals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fals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fals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false" indent="0" shrinkToFit="false"/>
      <protection locked="true" hidden="false"/>
    </xf>
    <xf numFmtId="164" fontId="12" fillId="7" borderId="2"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4" fontId="7" fillId="7" borderId="2" xfId="0" applyFont="true" applyBorder="true" applyAlignment="true" applyProtection="false">
      <alignment horizontal="left" vertical="center" textRotation="0" wrapText="fals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4" fontId="9" fillId="9" borderId="2" xfId="0" applyFont="true" applyBorder="true" applyAlignment="true" applyProtection="false">
      <alignment horizontal="center" vertical="center" textRotation="0" wrapText="false" indent="0" shrinkToFit="false"/>
      <protection locked="true" hidden="false"/>
    </xf>
    <xf numFmtId="164" fontId="12" fillId="9" borderId="2"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false" indent="0" shrinkToFit="false"/>
      <protection locked="true" hidden="false"/>
    </xf>
    <xf numFmtId="164" fontId="7" fillId="9" borderId="2" xfId="0" applyFont="true" applyBorder="true" applyAlignment="true" applyProtection="false">
      <alignment horizontal="left" vertical="center" textRotation="0" wrapText="fals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4" fontId="9" fillId="10" borderId="2" xfId="0" applyFont="true" applyBorder="true" applyAlignment="true" applyProtection="false">
      <alignment horizontal="center" vertical="center" textRotation="0" wrapText="false" indent="0" shrinkToFit="false"/>
      <protection locked="true" hidden="false"/>
    </xf>
    <xf numFmtId="164" fontId="12" fillId="10" borderId="2"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fals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4" fontId="9" fillId="8" borderId="2" xfId="0" applyFont="true" applyBorder="true" applyAlignment="true" applyProtection="false">
      <alignment horizontal="center" vertical="center" textRotation="0" wrapText="fals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7" fillId="8" borderId="2" xfId="0" applyFont="true" applyBorder="true" applyAlignment="true" applyProtection="false">
      <alignment horizontal="left" vertical="center" textRotation="0" wrapText="fals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10" fillId="9" borderId="2" xfId="0" applyFont="true" applyBorder="true" applyAlignment="true" applyProtection="false">
      <alignment horizontal="left" vertical="center" textRotation="0" wrapText="true" indent="0" shrinkToFit="false"/>
      <protection locked="true" hidden="false"/>
    </xf>
    <xf numFmtId="164" fontId="15" fillId="6" borderId="2" xfId="0" applyFont="true" applyBorder="true" applyAlignment="true" applyProtection="false">
      <alignment horizontal="center" vertical="center" textRotation="0" wrapText="false" indent="0" shrinkToFit="false"/>
      <protection locked="true" hidden="false"/>
    </xf>
    <xf numFmtId="164" fontId="16" fillId="9" borderId="1" xfId="0" applyFont="true" applyBorder="true" applyAlignment="true" applyProtection="false">
      <alignment horizontal="left" vertical="center" textRotation="0" wrapText="true" indent="0" shrinkToFit="false"/>
      <protection locked="true" hidden="false"/>
    </xf>
    <xf numFmtId="164" fontId="10" fillId="11" borderId="2" xfId="0" applyFont="true" applyBorder="true" applyAlignment="true" applyProtection="false">
      <alignment horizontal="left" vertical="center" textRotation="0" wrapText="true" indent="0" shrinkToFit="false"/>
      <protection locked="true" hidden="false"/>
    </xf>
    <xf numFmtId="164" fontId="16" fillId="11"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17" fillId="6" borderId="2" xfId="0" applyFont="true" applyBorder="true" applyAlignment="true" applyProtection="false">
      <alignment horizontal="center" vertical="center" textRotation="0" wrapText="false" indent="0" shrinkToFit="false"/>
      <protection locked="true" hidden="false"/>
    </xf>
    <xf numFmtId="164" fontId="18" fillId="4" borderId="2" xfId="0" applyFont="true" applyBorder="true" applyAlignment="true" applyProtection="false">
      <alignment horizontal="left" vertical="center" textRotation="0" wrapText="true" indent="0" shrinkToFit="false"/>
      <protection locked="true" hidden="false"/>
    </xf>
    <xf numFmtId="164" fontId="13" fillId="11" borderId="1" xfId="0" applyFont="true" applyBorder="true" applyAlignment="true" applyProtection="false">
      <alignment horizontal="left" vertical="center" textRotation="0" wrapText="true" indent="0" shrinkToFit="false"/>
      <protection locked="true" hidden="false"/>
    </xf>
    <xf numFmtId="164" fontId="14" fillId="12"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10" fillId="11" borderId="1" xfId="0" applyFont="true" applyBorder="true" applyAlignment="true" applyProtection="false">
      <alignment horizontal="left" vertical="center" textRotation="0" wrapText="false" indent="0" shrinkToFit="false"/>
      <protection locked="true" hidden="false"/>
    </xf>
    <xf numFmtId="164" fontId="19" fillId="7" borderId="2" xfId="0" applyFont="true" applyBorder="true" applyAlignment="true" applyProtection="false">
      <alignment horizontal="center" vertical="center" textRotation="0" wrapText="false" indent="0" shrinkToFit="false"/>
      <protection locked="true" hidden="false"/>
    </xf>
    <xf numFmtId="164" fontId="20" fillId="4" borderId="2" xfId="0" applyFont="true" applyBorder="true" applyAlignment="true" applyProtection="false">
      <alignment horizontal="center" vertical="center" textRotation="0" wrapText="false" indent="0" shrinkToFit="false"/>
      <protection locked="true" hidden="false"/>
    </xf>
    <xf numFmtId="164" fontId="11" fillId="9" borderId="2" xfId="0" applyFont="true" applyBorder="true" applyAlignment="true" applyProtection="false">
      <alignment horizontal="center" vertical="center" textRotation="0" wrapText="false" indent="0" shrinkToFit="false"/>
      <protection locked="true" hidden="false"/>
    </xf>
    <xf numFmtId="164" fontId="21" fillId="8" borderId="2" xfId="0" applyFont="true" applyBorder="true" applyAlignment="true" applyProtection="false">
      <alignment horizontal="center" vertical="center" textRotation="0" wrapText="false" indent="0" shrinkToFit="false"/>
      <protection locked="true" hidden="false"/>
    </xf>
    <xf numFmtId="164" fontId="22" fillId="13" borderId="2" xfId="0" applyFont="true" applyBorder="true" applyAlignment="true" applyProtection="false">
      <alignment horizontal="center" vertical="center" textRotation="0" wrapText="false" indent="0" shrinkToFit="false"/>
      <protection locked="true" hidden="false"/>
    </xf>
    <xf numFmtId="164" fontId="23" fillId="4" borderId="2" xfId="0" applyFont="true" applyBorder="true" applyAlignment="true" applyProtection="false">
      <alignment horizontal="left" vertical="center" textRotation="0" wrapText="false" indent="0" shrinkToFit="false"/>
      <protection locked="true" hidden="false"/>
    </xf>
    <xf numFmtId="164" fontId="16" fillId="4" borderId="2" xfId="0" applyFont="true" applyBorder="true" applyAlignment="true" applyProtection="false">
      <alignment horizontal="left" vertical="center" textRotation="0" wrapText="false" indent="0" shrinkToFit="false"/>
      <protection locked="true" hidden="false"/>
    </xf>
    <xf numFmtId="164" fontId="23" fillId="11" borderId="2" xfId="0" applyFont="true" applyBorder="true" applyAlignment="true" applyProtection="false">
      <alignment horizontal="left" vertical="center" textRotation="0" wrapText="false" indent="0" shrinkToFit="false"/>
      <protection locked="true" hidden="false"/>
    </xf>
    <xf numFmtId="164" fontId="16" fillId="11" borderId="2" xfId="0" applyFont="true" applyBorder="true" applyAlignment="true" applyProtection="false">
      <alignment horizontal="left" vertical="center" textRotation="0" wrapText="false" indent="0" shrinkToFit="false"/>
      <protection locked="true" hidden="false"/>
    </xf>
    <xf numFmtId="164" fontId="7" fillId="11" borderId="1" xfId="0" applyFont="true" applyBorder="true" applyAlignment="true" applyProtection="false">
      <alignment horizontal="left" vertical="center" textRotation="0" wrapText="false" indent="0" shrinkToFit="false"/>
      <protection locked="true" hidden="false"/>
    </xf>
    <xf numFmtId="164" fontId="9" fillId="9" borderId="2" xfId="0" applyFont="true" applyBorder="true" applyAlignment="true" applyProtection="false">
      <alignment horizontal="left" vertical="center" textRotation="0" wrapText="false" indent="0" shrinkToFit="false"/>
      <protection locked="true" hidden="false"/>
    </xf>
    <xf numFmtId="164" fontId="9" fillId="11" borderId="2" xfId="0" applyFont="true" applyBorder="true" applyAlignment="true" applyProtection="false">
      <alignment horizontal="left" vertical="center" textRotation="0" wrapText="false" indent="0" shrinkToFit="false"/>
      <protection locked="true" hidden="false"/>
    </xf>
    <xf numFmtId="164" fontId="24" fillId="2" borderId="0" xfId="0" applyFont="true" applyBorder="true" applyAlignment="true" applyProtection="false">
      <alignment horizontal="center" vertical="center" textRotation="0" wrapText="false" indent="0" shrinkToFit="false"/>
      <protection locked="true" hidden="false"/>
    </xf>
    <xf numFmtId="164" fontId="25" fillId="2" borderId="0" xfId="0" applyFont="true" applyBorder="true" applyAlignment="true" applyProtection="false">
      <alignment horizontal="center" vertical="center" textRotation="0" wrapText="false" indent="0" shrinkToFit="false"/>
      <protection locked="true" hidden="false"/>
    </xf>
    <xf numFmtId="164" fontId="26" fillId="3" borderId="0" xfId="0" applyFont="true" applyBorder="true" applyAlignment="true" applyProtection="false">
      <alignment horizontal="center" vertical="center" textRotation="0" wrapText="false" indent="0" shrinkToFit="false"/>
      <protection locked="true" hidden="false"/>
    </xf>
    <xf numFmtId="164" fontId="27" fillId="9" borderId="2" xfId="0" applyFont="true" applyBorder="true" applyAlignment="true" applyProtection="false">
      <alignment horizontal="left" vertical="center" textRotation="0" wrapText="false" indent="0" shrinkToFit="false"/>
      <protection locked="true" hidden="false"/>
    </xf>
    <xf numFmtId="164" fontId="28" fillId="6" borderId="2" xfId="0" applyFont="true" applyBorder="true" applyAlignment="true" applyProtection="false">
      <alignment horizontal="left" vertical="center" textRotation="0" wrapText="false" indent="0" shrinkToFit="false"/>
      <protection locked="true" hidden="false"/>
    </xf>
    <xf numFmtId="164" fontId="29" fillId="4" borderId="2" xfId="0" applyFont="true" applyBorder="true" applyAlignment="true" applyProtection="false">
      <alignment horizontal="left" vertical="center" textRotation="0" wrapText="false" indent="0" shrinkToFit="false"/>
      <protection locked="true" hidden="false"/>
    </xf>
    <xf numFmtId="164" fontId="12" fillId="4" borderId="2" xfId="0" applyFont="true" applyBorder="true" applyAlignment="true" applyProtection="false">
      <alignment horizontal="left" vertical="center" textRotation="0" wrapText="false" indent="0" shrinkToFit="false"/>
      <protection locked="true" hidden="false"/>
    </xf>
    <xf numFmtId="164" fontId="12" fillId="7" borderId="2" xfId="0" applyFont="true" applyBorder="true" applyAlignment="true" applyProtection="false">
      <alignment horizontal="left" vertical="center" textRotation="0" wrapText="false" indent="0" shrinkToFit="false"/>
      <protection locked="true" hidden="false"/>
    </xf>
    <xf numFmtId="164" fontId="12" fillId="6" borderId="2" xfId="0" applyFont="true" applyBorder="true" applyAlignment="true" applyProtection="false">
      <alignment horizontal="left" vertical="center" textRotation="0" wrapText="false" indent="0" shrinkToFit="false"/>
      <protection locked="true" hidden="false"/>
    </xf>
    <xf numFmtId="164" fontId="12" fillId="10" borderId="2" xfId="0" applyFont="true" applyBorder="true" applyAlignment="true" applyProtection="false">
      <alignment horizontal="left" vertical="center" textRotation="0" wrapText="false" indent="0" shrinkToFit="false"/>
      <protection locked="true" hidden="false"/>
    </xf>
    <xf numFmtId="164" fontId="10" fillId="10" borderId="2"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left" vertical="center" textRotation="0" wrapText="false" indent="0" shrinkToFit="false"/>
      <protection locked="true" hidden="false"/>
    </xf>
    <xf numFmtId="164" fontId="12" fillId="9" borderId="2" xfId="0" applyFont="true" applyBorder="true" applyAlignment="true" applyProtection="false">
      <alignment horizontal="left" vertical="center" textRotation="0" wrapText="false" indent="0" shrinkToFit="false"/>
      <protection locked="true" hidden="false"/>
    </xf>
    <xf numFmtId="164" fontId="22" fillId="14" borderId="1" xfId="0" applyFont="true" applyBorder="true" applyAlignment="true" applyProtection="false">
      <alignment horizontal="center" vertical="center" textRotation="0" wrapText="false" indent="0" shrinkToFit="false"/>
      <protection locked="true" hidden="false"/>
    </xf>
    <xf numFmtId="164" fontId="30" fillId="2" borderId="1" xfId="0" applyFont="true" applyBorder="true" applyAlignment="true" applyProtection="false">
      <alignment horizontal="center" vertical="center" textRotation="0" wrapText="false" indent="0" shrinkToFit="false"/>
      <protection locked="true" hidden="false"/>
    </xf>
    <xf numFmtId="164" fontId="10" fillId="6" borderId="2" xfId="0" applyFont="true" applyBorder="true" applyAlignment="true" applyProtection="false">
      <alignment horizontal="left" vertical="center" textRotation="0" wrapText="false" indent="0" shrinkToFit="false"/>
      <protection locked="true" hidden="false"/>
    </xf>
    <xf numFmtId="164" fontId="10" fillId="6" borderId="2" xfId="0" applyFont="true" applyBorder="true" applyAlignment="true" applyProtection="false">
      <alignment horizontal="center" vertical="center" textRotation="0" wrapText="false" indent="0" shrinkToFit="false"/>
      <protection locked="true" hidden="false"/>
    </xf>
    <xf numFmtId="164" fontId="31" fillId="6" borderId="2" xfId="0" applyFont="true" applyBorder="true" applyAlignment="true" applyProtection="false">
      <alignment horizontal="left" vertical="center" textRotation="0" wrapText="true" indent="0" shrinkToFit="false"/>
      <protection locked="true" hidden="false"/>
    </xf>
    <xf numFmtId="164" fontId="10" fillId="11" borderId="2" xfId="0" applyFont="true" applyBorder="true" applyAlignment="true" applyProtection="false">
      <alignment horizontal="left" vertical="center" textRotation="0" wrapText="false" indent="0" shrinkToFit="false"/>
      <protection locked="true" hidden="false"/>
    </xf>
    <xf numFmtId="164" fontId="10" fillId="11" borderId="2" xfId="0" applyFont="true" applyBorder="true" applyAlignment="true" applyProtection="false">
      <alignment horizontal="center" vertical="center" textRotation="0" wrapText="false" indent="0" shrinkToFit="false"/>
      <protection locked="true" hidden="false"/>
    </xf>
    <xf numFmtId="164" fontId="31" fillId="11" borderId="2" xfId="0" applyFont="true" applyBorder="true" applyAlignment="true" applyProtection="false">
      <alignment horizontal="left" vertical="center" textRotation="0" wrapText="true" indent="0" shrinkToFit="false"/>
      <protection locked="true" hidden="false"/>
    </xf>
    <xf numFmtId="164" fontId="10" fillId="4" borderId="2" xfId="0" applyFont="true" applyBorder="true" applyAlignment="true" applyProtection="false">
      <alignment horizontal="left" vertical="center" textRotation="0" wrapText="false" indent="0" shrinkToFit="false"/>
      <protection locked="true" hidden="false"/>
    </xf>
    <xf numFmtId="165" fontId="10" fillId="6" borderId="2" xfId="0" applyFont="true" applyBorder="true" applyAlignment="true" applyProtection="false">
      <alignment horizontal="center" vertical="center" textRotation="0" wrapText="false" indent="0" shrinkToFit="false"/>
      <protection locked="true" hidden="false"/>
    </xf>
    <xf numFmtId="165" fontId="32" fillId="4" borderId="2" xfId="0" applyFont="true" applyBorder="true" applyAlignment="true" applyProtection="false">
      <alignment horizontal="center" vertical="center" textRotation="0" wrapText="false" indent="0" shrinkToFit="false"/>
      <protection locked="true" hidden="false"/>
    </xf>
    <xf numFmtId="164" fontId="10" fillId="4" borderId="2" xfId="0" applyFont="true" applyBorder="true" applyAlignment="true" applyProtection="false">
      <alignment horizontal="center" vertical="center" textRotation="0" wrapText="false" indent="0" shrinkToFit="false"/>
      <protection locked="true" hidden="false"/>
    </xf>
    <xf numFmtId="164" fontId="33" fillId="5" borderId="2" xfId="0" applyFont="true" applyBorder="true" applyAlignment="true" applyProtection="false">
      <alignment horizontal="center" vertical="center" textRotation="0" wrapText="true" indent="0" shrinkToFit="false"/>
      <protection locked="true" hidden="false"/>
    </xf>
    <xf numFmtId="164" fontId="33" fillId="15" borderId="2" xfId="0" applyFont="true" applyBorder="true" applyAlignment="true" applyProtection="false">
      <alignment horizontal="center" vertical="center" textRotation="0" wrapText="true" indent="0" shrinkToFit="false"/>
      <protection locked="true" hidden="false"/>
    </xf>
    <xf numFmtId="164" fontId="33" fillId="16" borderId="2" xfId="0" applyFont="true" applyBorder="true" applyAlignment="true" applyProtection="false">
      <alignment horizontal="center" vertical="center" textRotation="0" wrapText="true" indent="0" shrinkToFit="false"/>
      <protection locked="true" hidden="false"/>
    </xf>
    <xf numFmtId="164" fontId="33" fillId="12" borderId="2" xfId="0" applyFont="true" applyBorder="true" applyAlignment="true" applyProtection="false">
      <alignment horizontal="center" vertical="center" textRotation="0" wrapText="true" indent="0" shrinkToFit="false"/>
      <protection locked="true" hidden="false"/>
    </xf>
    <xf numFmtId="164" fontId="22" fillId="7" borderId="2" xfId="0" applyFont="true" applyBorder="true" applyAlignment="true" applyProtection="false">
      <alignment horizontal="center" vertical="center" textRotation="0" wrapText="false" indent="0" shrinkToFit="false"/>
      <protection locked="true" hidden="false"/>
    </xf>
    <xf numFmtId="166" fontId="22" fillId="7" borderId="2" xfId="0" applyFont="true" applyBorder="true" applyAlignment="true" applyProtection="false">
      <alignment horizontal="center" vertical="center" textRotation="0" wrapText="false" indent="0" shrinkToFit="false"/>
      <protection locked="true" hidden="false"/>
    </xf>
    <xf numFmtId="164" fontId="34" fillId="7" borderId="2" xfId="0" applyFont="true" applyBorder="true" applyAlignment="true" applyProtection="false">
      <alignment horizontal="left" vertical="center" textRotation="0" wrapText="true" indent="0" shrinkToFit="false"/>
      <protection locked="true" hidden="false"/>
    </xf>
    <xf numFmtId="164" fontId="18" fillId="7" borderId="2" xfId="0" applyFont="true" applyBorder="true" applyAlignment="true" applyProtection="false">
      <alignment horizontal="left" vertical="center" textRotation="0" wrapText="true" indent="0" shrinkToFit="false"/>
      <protection locked="true" hidden="false"/>
    </xf>
    <xf numFmtId="164" fontId="35" fillId="7" borderId="2" xfId="0" applyFont="true" applyBorder="true" applyAlignment="true" applyProtection="false">
      <alignment horizontal="left" vertical="center" textRotation="0" wrapText="true" indent="0" shrinkToFit="false"/>
      <protection locked="true" hidden="false"/>
    </xf>
    <xf numFmtId="164" fontId="36" fillId="7" borderId="2" xfId="0" applyFont="true" applyBorder="true" applyAlignment="true" applyProtection="false">
      <alignment horizontal="left" vertical="center" textRotation="0" wrapText="true" indent="0" shrinkToFit="false"/>
      <protection locked="true" hidden="false"/>
    </xf>
    <xf numFmtId="164" fontId="22" fillId="4" borderId="2" xfId="0" applyFont="true" applyBorder="true" applyAlignment="true" applyProtection="false">
      <alignment horizontal="center" vertical="center" textRotation="0" wrapText="false" indent="0" shrinkToFit="false"/>
      <protection locked="true" hidden="false"/>
    </xf>
    <xf numFmtId="166" fontId="22" fillId="4" borderId="2" xfId="0" applyFont="true" applyBorder="true" applyAlignment="true" applyProtection="false">
      <alignment horizontal="center" vertical="center" textRotation="0" wrapText="false" indent="0" shrinkToFit="false"/>
      <protection locked="true" hidden="false"/>
    </xf>
    <xf numFmtId="164" fontId="34" fillId="4" borderId="2" xfId="0" applyFont="true" applyBorder="true" applyAlignment="true" applyProtection="false">
      <alignment horizontal="left" vertical="center" textRotation="0" wrapText="true" indent="0" shrinkToFit="false"/>
      <protection locked="true" hidden="false"/>
    </xf>
    <xf numFmtId="164" fontId="35" fillId="4" borderId="2" xfId="0" applyFont="true" applyBorder="true" applyAlignment="true" applyProtection="false">
      <alignment horizontal="left" vertical="center" textRotation="0" wrapText="true" indent="0" shrinkToFit="false"/>
      <protection locked="true" hidden="false"/>
    </xf>
    <xf numFmtId="164" fontId="36" fillId="4" borderId="2" xfId="0" applyFont="true" applyBorder="true" applyAlignment="true" applyProtection="false">
      <alignment horizontal="left" vertical="center" textRotation="0" wrapText="true" indent="0" shrinkToFit="false"/>
      <protection locked="true" hidden="false"/>
    </xf>
    <xf numFmtId="164" fontId="22" fillId="6" borderId="2" xfId="0" applyFont="true" applyBorder="true" applyAlignment="true" applyProtection="false">
      <alignment horizontal="center" vertical="center" textRotation="0" wrapText="false" indent="0" shrinkToFit="false"/>
      <protection locked="true" hidden="false"/>
    </xf>
    <xf numFmtId="166" fontId="22" fillId="6" borderId="2" xfId="0" applyFont="true" applyBorder="true" applyAlignment="true" applyProtection="false">
      <alignment horizontal="center" vertical="center" textRotation="0" wrapText="false" indent="0" shrinkToFit="false"/>
      <protection locked="true" hidden="false"/>
    </xf>
    <xf numFmtId="164" fontId="34" fillId="6" borderId="2" xfId="0" applyFont="true" applyBorder="true" applyAlignment="true" applyProtection="false">
      <alignment horizontal="left" vertical="center" textRotation="0" wrapText="true" indent="0" shrinkToFit="false"/>
      <protection locked="true" hidden="false"/>
    </xf>
    <xf numFmtId="164" fontId="18" fillId="6" borderId="2" xfId="0" applyFont="true" applyBorder="true" applyAlignment="true" applyProtection="false">
      <alignment horizontal="left" vertical="center" textRotation="0" wrapText="true" indent="0" shrinkToFit="false"/>
      <protection locked="true" hidden="false"/>
    </xf>
    <xf numFmtId="164" fontId="35" fillId="6" borderId="2" xfId="0" applyFont="true" applyBorder="true" applyAlignment="true" applyProtection="false">
      <alignment horizontal="left" vertical="center" textRotation="0" wrapText="true" indent="0" shrinkToFit="false"/>
      <protection locked="true" hidden="false"/>
    </xf>
    <xf numFmtId="164" fontId="36" fillId="6" borderId="2" xfId="0" applyFont="true" applyBorder="true" applyAlignment="true" applyProtection="false">
      <alignment horizontal="left" vertical="center" textRotation="0" wrapText="true" indent="0" shrinkToFit="false"/>
      <protection locked="true" hidden="false"/>
    </xf>
    <xf numFmtId="164" fontId="22" fillId="10" borderId="2" xfId="0" applyFont="true" applyBorder="true" applyAlignment="true" applyProtection="false">
      <alignment horizontal="center" vertical="center" textRotation="0" wrapText="false" indent="0" shrinkToFit="false"/>
      <protection locked="true" hidden="false"/>
    </xf>
    <xf numFmtId="166" fontId="22" fillId="10" borderId="2" xfId="0" applyFont="true" applyBorder="true" applyAlignment="true" applyProtection="false">
      <alignment horizontal="center" vertical="center" textRotation="0" wrapText="false" indent="0" shrinkToFit="false"/>
      <protection locked="true" hidden="false"/>
    </xf>
    <xf numFmtId="164" fontId="34" fillId="10" borderId="2" xfId="0" applyFont="true" applyBorder="true" applyAlignment="true" applyProtection="false">
      <alignment horizontal="left" vertical="center" textRotation="0" wrapText="true" indent="0" shrinkToFit="false"/>
      <protection locked="true" hidden="false"/>
    </xf>
    <xf numFmtId="164" fontId="18" fillId="10" borderId="2" xfId="0" applyFont="true" applyBorder="true" applyAlignment="true" applyProtection="false">
      <alignment horizontal="left" vertical="center" textRotation="0" wrapText="true" indent="0" shrinkToFit="false"/>
      <protection locked="true" hidden="false"/>
    </xf>
    <xf numFmtId="164" fontId="35" fillId="10" borderId="2" xfId="0" applyFont="true" applyBorder="true" applyAlignment="true" applyProtection="false">
      <alignment horizontal="left" vertical="center" textRotation="0" wrapText="true" indent="0" shrinkToFit="false"/>
      <protection locked="true" hidden="false"/>
    </xf>
    <xf numFmtId="164" fontId="36" fillId="10" borderId="2" xfId="0" applyFont="true" applyBorder="true" applyAlignment="true" applyProtection="false">
      <alignment horizontal="left" vertical="center" textRotation="0" wrapText="true" indent="0" shrinkToFit="false"/>
      <protection locked="true" hidden="false"/>
    </xf>
    <xf numFmtId="164" fontId="22" fillId="4" borderId="2" xfId="0" applyFont="true" applyBorder="true" applyAlignment="true" applyProtection="false">
      <alignment horizontal="left" vertical="center" textRotation="0" wrapText="false" indent="0" shrinkToFit="false"/>
      <protection locked="true" hidden="false"/>
    </xf>
    <xf numFmtId="167" fontId="10" fillId="6" borderId="2" xfId="0" applyFont="true" applyBorder="true" applyAlignment="true" applyProtection="false">
      <alignment horizontal="center" vertical="center" textRotation="0" wrapText="false" indent="0" shrinkToFit="false"/>
      <protection locked="true" hidden="false"/>
    </xf>
    <xf numFmtId="164" fontId="37" fillId="4" borderId="2" xfId="0" applyFont="true" applyBorder="true" applyAlignment="true" applyProtection="false">
      <alignment horizontal="center" vertical="center" textRotation="0" wrapText="false" indent="0" shrinkToFit="false"/>
      <protection locked="true" hidden="false"/>
    </xf>
    <xf numFmtId="164" fontId="38" fillId="4" borderId="1" xfId="0" applyFont="true" applyBorder="true" applyAlignment="true" applyProtection="false">
      <alignment horizontal="left" vertical="center" textRotation="0" wrapText="true" indent="0" shrinkToFit="false"/>
      <protection locked="true" hidden="false"/>
    </xf>
    <xf numFmtId="164" fontId="22" fillId="11" borderId="2" xfId="0" applyFont="true" applyBorder="true" applyAlignment="true" applyProtection="false">
      <alignment horizontal="left" vertical="center" textRotation="0" wrapText="false" indent="0" shrinkToFit="false"/>
      <protection locked="true" hidden="false"/>
    </xf>
    <xf numFmtId="164" fontId="37" fillId="11" borderId="2" xfId="0" applyFont="true" applyBorder="true" applyAlignment="true" applyProtection="false">
      <alignment horizontal="center" vertical="center" textRotation="0" wrapText="false" indent="0" shrinkToFit="false"/>
      <protection locked="true" hidden="false"/>
    </xf>
    <xf numFmtId="164" fontId="38" fillId="11" borderId="1" xfId="0" applyFont="true" applyBorder="true" applyAlignment="true" applyProtection="false">
      <alignment horizontal="left" vertical="center" textRotation="0" wrapText="true" indent="0" shrinkToFit="false"/>
      <protection locked="true" hidden="false"/>
    </xf>
    <xf numFmtId="164" fontId="14" fillId="17" borderId="1" xfId="0" applyFont="true" applyBorder="true" applyAlignment="true" applyProtection="false">
      <alignment horizontal="center" vertical="center" textRotation="0" wrapText="false" indent="0" shrinkToFit="false"/>
      <protection locked="true" hidden="false"/>
    </xf>
    <xf numFmtId="164" fontId="31" fillId="6" borderId="1" xfId="0" applyFont="true" applyBorder="true" applyAlignment="true" applyProtection="false">
      <alignment horizontal="left" vertical="center" textRotation="0" wrapText="true" indent="0" shrinkToFit="false"/>
      <protection locked="true" hidden="false"/>
    </xf>
    <xf numFmtId="164" fontId="39" fillId="7" borderId="2" xfId="0" applyFont="true" applyBorder="true" applyAlignment="true" applyProtection="false">
      <alignment horizontal="center" vertical="center" textRotation="0" wrapText="false" indent="0" shrinkToFit="false"/>
      <protection locked="true" hidden="false"/>
    </xf>
    <xf numFmtId="164" fontId="40" fillId="7" borderId="2" xfId="0" applyFont="true" applyBorder="true" applyAlignment="true" applyProtection="false">
      <alignment horizontal="left" vertical="center" textRotation="0" wrapText="true" indent="0" shrinkToFit="false"/>
      <protection locked="true" hidden="false"/>
    </xf>
    <xf numFmtId="164" fontId="32" fillId="4" borderId="2" xfId="0" applyFont="true" applyBorder="true" applyAlignment="true" applyProtection="false">
      <alignment horizontal="center" vertical="center" textRotation="0" wrapText="false" indent="0" shrinkToFit="false"/>
      <protection locked="true" hidden="false"/>
    </xf>
    <xf numFmtId="164" fontId="41" fillId="6" borderId="2" xfId="0" applyFont="true" applyBorder="true" applyAlignment="true" applyProtection="false">
      <alignment horizontal="center" vertical="center" textRotation="0" wrapText="false" indent="0" shrinkToFit="false"/>
      <protection locked="true" hidden="false"/>
    </xf>
    <xf numFmtId="164" fontId="42" fillId="6" borderId="2" xfId="0" applyFont="true" applyBorder="true" applyAlignment="true" applyProtection="false">
      <alignment horizontal="left" vertical="center" textRotation="0" wrapText="true" indent="0" shrinkToFit="false"/>
      <protection locked="true" hidden="false"/>
    </xf>
    <xf numFmtId="164" fontId="12" fillId="10" borderId="2" xfId="0" applyFont="true" applyBorder="true" applyAlignment="true" applyProtection="false">
      <alignment horizontal="center" vertical="center" textRotation="0" wrapText="false" indent="0" shrinkToFit="false"/>
      <protection locked="true" hidden="false"/>
    </xf>
    <xf numFmtId="164" fontId="43" fillId="10" borderId="2" xfId="0" applyFont="true" applyBorder="true" applyAlignment="true" applyProtection="false">
      <alignment horizontal="left" vertical="center" textRotation="0" wrapText="true" indent="0" shrinkToFit="false"/>
      <protection locked="true" hidden="false"/>
    </xf>
    <xf numFmtId="164" fontId="0" fillId="17" borderId="0" xfId="0" applyFont="false" applyBorder="true" applyAlignment="true" applyProtection="false">
      <alignment horizontal="general" vertical="bottom" textRotation="0" wrapText="false" indent="0" shrinkToFit="false"/>
      <protection locked="true" hidden="false"/>
    </xf>
    <xf numFmtId="164" fontId="15" fillId="4" borderId="2" xfId="0" applyFont="true" applyBorder="true" applyAlignment="true" applyProtection="false">
      <alignment horizontal="center" vertical="center" textRotation="0" wrapText="false" indent="0" shrinkToFit="false"/>
      <protection locked="true" hidden="false"/>
    </xf>
    <xf numFmtId="166" fontId="44" fillId="4" borderId="2" xfId="0" applyFont="true" applyBorder="true" applyAlignment="true" applyProtection="false">
      <alignment horizontal="center" vertical="center" textRotation="0" wrapText="false" indent="0" shrinkToFit="false"/>
      <protection locked="true" hidden="false"/>
    </xf>
    <xf numFmtId="164" fontId="31" fillId="9" borderId="2" xfId="0" applyFont="true" applyBorder="true" applyAlignment="true" applyProtection="false">
      <alignment horizontal="left" vertical="center" textRotation="0" wrapText="false" indent="0" shrinkToFit="false"/>
      <protection locked="true" hidden="false"/>
    </xf>
    <xf numFmtId="167" fontId="45" fillId="9" borderId="2" xfId="0" applyFont="true" applyBorder="true" applyAlignment="true" applyProtection="false">
      <alignment horizontal="center" vertical="center" textRotation="0" wrapText="false" indent="0" shrinkToFit="false"/>
      <protection locked="true" hidden="false"/>
    </xf>
    <xf numFmtId="166" fontId="20" fillId="4" borderId="2" xfId="0" applyFont="true" applyBorder="true" applyAlignment="true" applyProtection="false">
      <alignment horizontal="center" vertical="center" textRotation="0" wrapText="false" indent="0" shrinkToFit="false"/>
      <protection locked="true" hidden="false"/>
    </xf>
    <xf numFmtId="168" fontId="44" fillId="7" borderId="2" xfId="0" applyFont="true" applyBorder="true" applyAlignment="true" applyProtection="false">
      <alignment horizontal="center" vertical="center" textRotation="0" wrapText="false" indent="0" shrinkToFit="false"/>
      <protection locked="true" hidden="false"/>
    </xf>
    <xf numFmtId="168" fontId="19" fillId="7" borderId="2" xfId="0" applyFont="true" applyBorder="true" applyAlignment="true" applyProtection="false">
      <alignment horizontal="center" vertical="center" textRotation="0" wrapText="false" indent="0" shrinkToFit="false"/>
      <protection locked="true" hidden="false"/>
    </xf>
    <xf numFmtId="164" fontId="46" fillId="9" borderId="2" xfId="0" applyFont="true" applyBorder="true" applyAlignment="true" applyProtection="false">
      <alignment horizontal="left" vertical="center" textRotation="0" wrapText="false" indent="0" shrinkToFit="false"/>
      <protection locked="true" hidden="false"/>
    </xf>
    <xf numFmtId="164" fontId="31" fillId="11" borderId="2" xfId="0" applyFont="true" applyBorder="true" applyAlignment="true" applyProtection="false">
      <alignment horizontal="left" vertical="center" textRotation="0" wrapText="false" indent="0" shrinkToFit="false"/>
      <protection locked="true" hidden="false"/>
    </xf>
    <xf numFmtId="167" fontId="45" fillId="11" borderId="2" xfId="0" applyFont="true" applyBorder="true" applyAlignment="true" applyProtection="false">
      <alignment horizontal="center" vertical="center" textRotation="0" wrapText="false" indent="0" shrinkToFit="false"/>
      <protection locked="true" hidden="false"/>
    </xf>
    <xf numFmtId="164" fontId="46" fillId="11" borderId="2" xfId="0" applyFont="true" applyBorder="true" applyAlignment="true" applyProtection="false">
      <alignment horizontal="left" vertical="center" textRotation="0" wrapText="false" indent="0" shrinkToFit="false"/>
      <protection locked="true" hidden="false"/>
    </xf>
    <xf numFmtId="164" fontId="15" fillId="7" borderId="2"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8" fontId="6" fillId="2" borderId="0" xfId="0" applyFont="true" applyBorder="false" applyAlignment="true" applyProtection="false">
      <alignment horizontal="center" vertical="center" textRotation="0" wrapText="false" indent="0" shrinkToFit="false"/>
      <protection locked="true" hidden="false"/>
    </xf>
    <xf numFmtId="168" fontId="6" fillId="3" borderId="0" xfId="0" applyFont="true" applyBorder="false" applyAlignment="true" applyProtection="false">
      <alignment horizontal="center" vertical="center" textRotation="0" wrapText="false" indent="0" shrinkToFit="false"/>
      <protection locked="true" hidden="false"/>
    </xf>
    <xf numFmtId="166" fontId="10" fillId="4" borderId="2" xfId="0" applyFont="true" applyBorder="true" applyAlignment="true" applyProtection="false">
      <alignment horizontal="center" vertical="center" textRotation="0" wrapText="false" indent="0" shrinkToFit="false"/>
      <protection locked="true" hidden="false"/>
    </xf>
    <xf numFmtId="166" fontId="19" fillId="7" borderId="2" xfId="0" applyFont="true" applyBorder="true" applyAlignment="true" applyProtection="false">
      <alignment horizontal="center" vertical="center" textRotation="0" wrapText="false" indent="0" shrinkToFit="false"/>
      <protection locked="true" hidden="false"/>
    </xf>
    <xf numFmtId="164" fontId="31" fillId="4" borderId="1" xfId="0" applyFont="true" applyBorder="true" applyAlignment="true" applyProtection="false">
      <alignment horizontal="left" vertical="center" textRotation="0" wrapText="true" indent="0" shrinkToFit="false"/>
      <protection locked="true" hidden="false"/>
    </xf>
    <xf numFmtId="166" fontId="10" fillId="11" borderId="2" xfId="0" applyFont="true" applyBorder="true" applyAlignment="true" applyProtection="false">
      <alignment horizontal="center" vertical="center" textRotation="0" wrapText="false" indent="0" shrinkToFit="false"/>
      <protection locked="true" hidden="false"/>
    </xf>
    <xf numFmtId="164" fontId="31" fillId="11" borderId="1"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9" fontId="44" fillId="4" borderId="2" xfId="0" applyFont="true" applyBorder="true" applyAlignment="true" applyProtection="false">
      <alignment horizontal="center" vertical="center" textRotation="0" wrapText="false" indent="0" shrinkToFit="false"/>
      <protection locked="true" hidden="false"/>
    </xf>
    <xf numFmtId="169" fontId="44" fillId="7" borderId="2" xfId="0" applyFont="true" applyBorder="true" applyAlignment="true" applyProtection="false">
      <alignment horizontal="center" vertical="center" textRotation="0" wrapText="false" indent="0" shrinkToFit="false"/>
      <protection locked="true" hidden="false"/>
    </xf>
    <xf numFmtId="169" fontId="44" fillId="6" borderId="2" xfId="0" applyFont="true" applyBorder="true" applyAlignment="true" applyProtection="false">
      <alignment horizontal="center" vertical="center" textRotation="0" wrapText="false" indent="0" shrinkToFit="false"/>
      <protection locked="true" hidden="false"/>
    </xf>
    <xf numFmtId="169" fontId="19" fillId="7" borderId="2"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9" fontId="6" fillId="2" borderId="2" xfId="0" applyFont="true" applyBorder="true" applyAlignment="true" applyProtection="false">
      <alignment horizontal="center" vertical="center" textRotation="0" wrapText="false" indent="0" shrinkToFit="false"/>
      <protection locked="true" hidden="false"/>
    </xf>
    <xf numFmtId="164" fontId="46" fillId="9" borderId="2" xfId="0" applyFont="true" applyBorder="true" applyAlignment="true" applyProtection="false">
      <alignment horizontal="center" vertical="center" textRotation="0" wrapText="false" indent="0" shrinkToFit="false"/>
      <protection locked="true" hidden="false"/>
    </xf>
    <xf numFmtId="164" fontId="38" fillId="9" borderId="2" xfId="0" applyFont="true" applyBorder="true" applyAlignment="true" applyProtection="false">
      <alignment horizontal="left" vertical="center" textRotation="0" wrapText="true" indent="0" shrinkToFit="false"/>
      <protection locked="true" hidden="false"/>
    </xf>
    <xf numFmtId="165" fontId="44" fillId="4" borderId="2" xfId="0" applyFont="true" applyBorder="true" applyAlignment="true" applyProtection="false">
      <alignment horizontal="center" vertical="center" textRotation="0" wrapText="false" indent="0" shrinkToFit="false"/>
      <protection locked="true" hidden="false"/>
    </xf>
    <xf numFmtId="169" fontId="47" fillId="7" borderId="2" xfId="0" applyFont="true" applyBorder="true" applyAlignment="true" applyProtection="false">
      <alignment horizontal="center" vertical="center" textRotation="0" wrapText="false" indent="0" shrinkToFit="false"/>
      <protection locked="true" hidden="false"/>
    </xf>
    <xf numFmtId="164" fontId="46" fillId="11" borderId="2" xfId="0" applyFont="true" applyBorder="true" applyAlignment="true" applyProtection="false">
      <alignment horizontal="center" vertical="center" textRotation="0" wrapText="false" indent="0" shrinkToFit="false"/>
      <protection locked="true" hidden="false"/>
    </xf>
    <xf numFmtId="164" fontId="38" fillId="11" borderId="2" xfId="0" applyFont="true" applyBorder="true" applyAlignment="true" applyProtection="false">
      <alignment horizontal="left"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false" indent="0" shrinkToFit="false"/>
      <protection locked="true" hidden="false"/>
    </xf>
    <xf numFmtId="164" fontId="33" fillId="5" borderId="2" xfId="0" applyFont="true" applyBorder="true" applyAlignment="true" applyProtection="false">
      <alignment horizontal="center" vertical="center" textRotation="0" wrapText="false" indent="0" shrinkToFit="false"/>
      <protection locked="true" hidden="false"/>
    </xf>
    <xf numFmtId="164" fontId="22" fillId="9" borderId="2" xfId="0" applyFont="true" applyBorder="true" applyAlignment="true" applyProtection="false">
      <alignment horizontal="left" vertical="center" textRotation="0" wrapText="false" indent="0" shrinkToFit="false"/>
      <protection locked="true" hidden="false"/>
    </xf>
    <xf numFmtId="164" fontId="48" fillId="7" borderId="2" xfId="0" applyFont="true" applyBorder="true" applyAlignment="true" applyProtection="false">
      <alignment horizontal="center" vertical="center" textRotation="0" wrapText="false" indent="0" shrinkToFit="false"/>
      <protection locked="true" hidden="false"/>
    </xf>
    <xf numFmtId="164" fontId="48" fillId="11" borderId="2" xfId="0" applyFont="true" applyBorder="true" applyAlignment="true" applyProtection="false">
      <alignment horizontal="center" vertical="center" textRotation="0" wrapText="false" indent="0" shrinkToFit="false"/>
      <protection locked="true" hidden="false"/>
    </xf>
    <xf numFmtId="164" fontId="10" fillId="9" borderId="2" xfId="0" applyFont="true" applyBorder="true" applyAlignment="true" applyProtection="false">
      <alignment horizontal="left" vertical="center" textRotation="0" wrapText="false" indent="0" shrinkToFit="false"/>
      <protection locked="true" hidden="false"/>
    </xf>
    <xf numFmtId="164" fontId="48" fillId="9" borderId="2" xfId="0" applyFont="true" applyBorder="true" applyAlignment="true" applyProtection="false">
      <alignment horizontal="center" vertical="center" textRotation="0" wrapText="false" indent="0" shrinkToFit="false"/>
      <protection locked="true" hidden="false"/>
    </xf>
    <xf numFmtId="164" fontId="14" fillId="2" borderId="2" xfId="0" applyFont="true" applyBorder="true" applyAlignment="true" applyProtection="false">
      <alignment horizontal="left" vertical="center" textRotation="0" wrapText="false" indent="0" shrinkToFit="false"/>
      <protection locked="true" hidden="false"/>
    </xf>
    <xf numFmtId="164" fontId="14" fillId="2" borderId="2" xfId="0" applyFont="true" applyBorder="true" applyAlignment="true" applyProtection="false">
      <alignment horizontal="center" vertical="center" textRotation="0" wrapText="false" indent="0" shrinkToFit="false"/>
      <protection locked="true" hidden="false"/>
    </xf>
    <xf numFmtId="164" fontId="49" fillId="6" borderId="2" xfId="0" applyFont="true" applyBorder="true" applyAlignment="true" applyProtection="false">
      <alignment horizontal="center" vertical="center" textRotation="0" wrapText="false" indent="0" shrinkToFit="false"/>
      <protection locked="true" hidden="false"/>
    </xf>
    <xf numFmtId="164" fontId="50" fillId="8" borderId="1" xfId="0" applyFont="true" applyBorder="true" applyAlignment="true" applyProtection="false">
      <alignment horizontal="left" vertical="center" textRotation="0" wrapText="false" indent="0" shrinkToFit="false"/>
      <protection locked="true" hidden="false"/>
    </xf>
    <xf numFmtId="164" fontId="50" fillId="11" borderId="1" xfId="0" applyFont="true" applyBorder="true" applyAlignment="true" applyProtection="false">
      <alignment horizontal="left" vertical="center" textRotation="0" wrapText="false" indent="0" shrinkToFit="false"/>
      <protection locked="true" hidden="false"/>
    </xf>
    <xf numFmtId="164" fontId="50" fillId="8" borderId="2" xfId="0" applyFont="true" applyBorder="true" applyAlignment="true" applyProtection="false">
      <alignment horizontal="left" vertical="center" textRotation="0" wrapText="true" indent="0" shrinkToFit="false"/>
      <protection locked="true" hidden="false"/>
    </xf>
    <xf numFmtId="164" fontId="46" fillId="8" borderId="2" xfId="0" applyFont="true" applyBorder="true" applyAlignment="true" applyProtection="false">
      <alignment horizontal="center" vertical="center" textRotation="0" wrapText="false" indent="0" shrinkToFit="false"/>
      <protection locked="true" hidden="false"/>
    </xf>
    <xf numFmtId="164" fontId="31" fillId="8" borderId="1" xfId="0" applyFont="true" applyBorder="true" applyAlignment="true" applyProtection="false">
      <alignment horizontal="left" vertical="center" textRotation="0" wrapText="true" indent="0" shrinkToFit="false"/>
      <protection locked="true" hidden="false"/>
    </xf>
    <xf numFmtId="164" fontId="50" fillId="11" borderId="2" xfId="0" applyFont="true" applyBorder="true" applyAlignment="true" applyProtection="false">
      <alignment horizontal="left" vertical="center" textRotation="0" wrapText="true" indent="0" shrinkToFit="false"/>
      <protection locked="true" hidden="false"/>
    </xf>
    <xf numFmtId="164" fontId="33" fillId="5" borderId="2" xfId="0" applyFont="true" applyBorder="true" applyAlignment="true" applyProtection="false">
      <alignment horizontal="center" vertical="bottom" textRotation="0" wrapText="true" indent="0" shrinkToFit="false"/>
      <protection locked="true" hidden="false"/>
    </xf>
    <xf numFmtId="165" fontId="44" fillId="7" borderId="2"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0" shrinkToFit="false"/>
      <protection locked="true" hidden="false"/>
    </xf>
    <xf numFmtId="165" fontId="51" fillId="2" borderId="2"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5" fontId="51" fillId="3" borderId="2"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left" vertical="center" textRotation="0" wrapText="false" indent="0" shrinkToFit="false"/>
      <protection locked="true" hidden="false"/>
    </xf>
    <xf numFmtId="165" fontId="51" fillId="5" borderId="2" xfId="0" applyFont="true" applyBorder="true" applyAlignment="true" applyProtection="false">
      <alignment horizontal="center" vertical="center" textRotation="0" wrapText="false" indent="0" shrinkToFit="false"/>
      <protection locked="true" hidden="false"/>
    </xf>
    <xf numFmtId="165" fontId="19" fillId="7" borderId="2"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EB3B"/>
      <rgbColor rgb="FFFF00FF"/>
      <rgbColor rgb="FF00FFFF"/>
      <rgbColor rgb="FF8B0000"/>
      <rgbColor rgb="FF008000"/>
      <rgbColor rgb="FF000080"/>
      <rgbColor rgb="FF808000"/>
      <rgbColor rgb="FF6A1B9A"/>
      <rgbColor rgb="FF00695C"/>
      <rgbColor rgb="FFBDBDBD"/>
      <rgbColor rgb="FF757575"/>
      <rgbColor rgb="FF9999FF"/>
      <rgbColor rgb="FFC74634"/>
      <rgbColor rgb="FFFFF3CD"/>
      <rgbColor rgb="FFE3F2FD"/>
      <rgbColor rgb="FF660066"/>
      <rgbColor rgb="FFFF8080"/>
      <rgbColor rgb="FF1565C0"/>
      <rgbColor rgb="FFF3E5F5"/>
      <rgbColor rgb="FF000080"/>
      <rgbColor rgb="FFFF00FF"/>
      <rgbColor rgb="FFFFFF00"/>
      <rgbColor rgb="FF00FFFF"/>
      <rgbColor rgb="FF800080"/>
      <rgbColor rgb="FF800000"/>
      <rgbColor rgb="FF008080"/>
      <rgbColor rgb="FF0000FF"/>
      <rgbColor rgb="FF00CCFF"/>
      <rgbColor rgb="FFE8F5E9"/>
      <rgbColor rgb="FFF5F5F5"/>
      <rgbColor rgb="FFFFFF99"/>
      <rgbColor rgb="FF99CCFF"/>
      <rgbColor rgb="FFFF99CC"/>
      <rgbColor rgb="FFCC99FF"/>
      <rgbColor rgb="FFF9E0DC"/>
      <rgbColor rgb="FF3366FF"/>
      <rgbColor rgb="FF33CCCC"/>
      <rgbColor rgb="FF99CC00"/>
      <rgbColor rgb="FFFFCC00"/>
      <rgbColor rgb="FFF5A623"/>
      <rgbColor rgb="FFFF6600"/>
      <rgbColor rgb="FF666699"/>
      <rgbColor rgb="FF969696"/>
      <rgbColor rgb="FF1A237E"/>
      <rgbColor rgb="FF2E7D32"/>
      <rgbColor rgb="FF003300"/>
      <rgbColor rgb="FF333300"/>
      <rgbColor rgb="FF993300"/>
      <rgbColor rgb="FF993366"/>
      <rgbColor rgb="FF333399"/>
      <rgbColor rgb="FF424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9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60"/>
    <col collapsed="false" customWidth="true" hidden="false" outlineLevel="0" max="6" min="4" style="1" width="18"/>
  </cols>
  <sheetData>
    <row r="1" customFormat="false" ht="9.75" hidden="false" customHeight="true" outlineLevel="0" collapsed="false"/>
    <row r="2" customFormat="false" ht="51.75" hidden="false" customHeight="true" outlineLevel="0" collapsed="false">
      <c r="B2" s="2" t="s">
        <v>0</v>
      </c>
      <c r="C2" s="2"/>
      <c r="D2" s="2"/>
      <c r="E2" s="2"/>
      <c r="F2" s="2"/>
    </row>
    <row r="3" customFormat="false" ht="24" hidden="false" customHeight="true" outlineLevel="0" collapsed="false">
      <c r="B3" s="3" t="s">
        <v>1</v>
      </c>
      <c r="C3" s="3"/>
      <c r="D3" s="3"/>
      <c r="E3" s="3"/>
      <c r="F3" s="3"/>
    </row>
    <row r="5" customFormat="false" ht="25.5" hidden="false" customHeight="true" outlineLevel="0" collapsed="false">
      <c r="B5" s="4" t="s">
        <v>2</v>
      </c>
      <c r="C5" s="4"/>
      <c r="D5" s="4"/>
      <c r="E5" s="4"/>
      <c r="F5" s="4"/>
    </row>
    <row r="6" customFormat="false" ht="99.75" hidden="false" customHeight="true" outlineLevel="0" collapsed="false">
      <c r="B6" s="5" t="s">
        <v>3</v>
      </c>
      <c r="C6" s="5"/>
      <c r="D6" s="5"/>
      <c r="E6" s="5"/>
      <c r="F6" s="5"/>
    </row>
    <row r="8" customFormat="false" ht="25.5" hidden="false" customHeight="true" outlineLevel="0" collapsed="false">
      <c r="B8" s="4" t="s">
        <v>4</v>
      </c>
      <c r="C8" s="4"/>
      <c r="D8" s="4"/>
      <c r="E8" s="4"/>
      <c r="F8" s="4"/>
    </row>
    <row r="9" customFormat="false" ht="19.5" hidden="false" customHeight="true" outlineLevel="0" collapsed="false">
      <c r="B9" s="6" t="s">
        <v>5</v>
      </c>
      <c r="C9" s="6" t="s">
        <v>6</v>
      </c>
      <c r="D9" s="6" t="s">
        <v>7</v>
      </c>
      <c r="E9" s="6"/>
      <c r="F9" s="6"/>
    </row>
    <row r="10" customFormat="false" ht="48" hidden="false" customHeight="true" outlineLevel="0" collapsed="false">
      <c r="B10" s="7" t="s">
        <v>8</v>
      </c>
      <c r="C10" s="8" t="s">
        <v>9</v>
      </c>
      <c r="D10" s="9" t="s">
        <v>10</v>
      </c>
      <c r="E10" s="9"/>
      <c r="F10" s="9"/>
    </row>
    <row r="11" customFormat="false" ht="48" hidden="false" customHeight="true" outlineLevel="0" collapsed="false">
      <c r="B11" s="10" t="s">
        <v>11</v>
      </c>
      <c r="C11" s="11" t="s">
        <v>12</v>
      </c>
      <c r="D11" s="12" t="s">
        <v>13</v>
      </c>
      <c r="E11" s="12"/>
      <c r="F11" s="12"/>
    </row>
    <row r="12" customFormat="false" ht="48" hidden="false" customHeight="true" outlineLevel="0" collapsed="false">
      <c r="B12" s="10" t="s">
        <v>14</v>
      </c>
      <c r="C12" s="11" t="s">
        <v>15</v>
      </c>
      <c r="D12" s="12" t="s">
        <v>13</v>
      </c>
      <c r="E12" s="12"/>
      <c r="F12" s="12"/>
    </row>
    <row r="13" customFormat="false" ht="48" hidden="false" customHeight="true" outlineLevel="0" collapsed="false">
      <c r="B13" s="13" t="s">
        <v>16</v>
      </c>
      <c r="C13" s="14" t="s">
        <v>17</v>
      </c>
      <c r="D13" s="12" t="s">
        <v>18</v>
      </c>
      <c r="E13" s="12"/>
      <c r="F13" s="12"/>
    </row>
    <row r="14" customFormat="false" ht="48" hidden="false" customHeight="true" outlineLevel="0" collapsed="false">
      <c r="B14" s="7" t="s">
        <v>19</v>
      </c>
      <c r="C14" s="8" t="s">
        <v>20</v>
      </c>
      <c r="D14" s="9" t="s">
        <v>10</v>
      </c>
      <c r="E14" s="9"/>
      <c r="F14" s="9"/>
    </row>
    <row r="15" customFormat="false" ht="48" hidden="false" customHeight="true" outlineLevel="0" collapsed="false">
      <c r="B15" s="13" t="s">
        <v>21</v>
      </c>
      <c r="C15" s="14" t="s">
        <v>22</v>
      </c>
      <c r="D15" s="15" t="s">
        <v>23</v>
      </c>
      <c r="E15" s="15"/>
      <c r="F15" s="15"/>
    </row>
    <row r="16" customFormat="false" ht="48" hidden="false" customHeight="true" outlineLevel="0" collapsed="false">
      <c r="B16" s="13" t="s">
        <v>24</v>
      </c>
      <c r="C16" s="14" t="s">
        <v>25</v>
      </c>
      <c r="D16" s="15" t="s">
        <v>23</v>
      </c>
      <c r="E16" s="15"/>
      <c r="F16" s="15"/>
    </row>
    <row r="17" customFormat="false" ht="48" hidden="false" customHeight="true" outlineLevel="0" collapsed="false">
      <c r="B17" s="16" t="s">
        <v>26</v>
      </c>
      <c r="C17" s="17" t="s">
        <v>27</v>
      </c>
      <c r="D17" s="18" t="s">
        <v>28</v>
      </c>
      <c r="E17" s="18"/>
      <c r="F17" s="18"/>
    </row>
    <row r="18" customFormat="false" ht="48" hidden="false" customHeight="true" outlineLevel="0" collapsed="false">
      <c r="B18" s="13" t="s">
        <v>29</v>
      </c>
      <c r="C18" s="14" t="s">
        <v>30</v>
      </c>
      <c r="D18" s="15" t="s">
        <v>23</v>
      </c>
      <c r="E18" s="15"/>
      <c r="F18" s="15"/>
    </row>
    <row r="20" customFormat="false" ht="25.5" hidden="false" customHeight="true" outlineLevel="0" collapsed="false">
      <c r="B20" s="4" t="s">
        <v>31</v>
      </c>
      <c r="C20" s="4"/>
      <c r="D20" s="4"/>
      <c r="E20" s="4"/>
      <c r="F20" s="4"/>
    </row>
    <row r="21" customFormat="false" ht="19.5" hidden="false" customHeight="true" outlineLevel="0" collapsed="false">
      <c r="B21" s="19" t="s">
        <v>32</v>
      </c>
      <c r="C21" s="20" t="s">
        <v>33</v>
      </c>
      <c r="D21" s="21"/>
      <c r="E21" s="21"/>
      <c r="F21" s="21"/>
    </row>
    <row r="22" customFormat="false" ht="70.5" hidden="false" customHeight="true" outlineLevel="0" collapsed="false">
      <c r="B22" s="22"/>
      <c r="C22" s="23" t="s">
        <v>34</v>
      </c>
      <c r="D22" s="23"/>
      <c r="E22" s="23"/>
      <c r="F22" s="23"/>
    </row>
    <row r="23" customFormat="false" ht="19.5" hidden="false" customHeight="true" outlineLevel="0" collapsed="false">
      <c r="B23" s="24" t="s">
        <v>35</v>
      </c>
      <c r="C23" s="25" t="s">
        <v>36</v>
      </c>
      <c r="D23" s="26"/>
      <c r="E23" s="26"/>
      <c r="F23" s="26"/>
    </row>
    <row r="24" customFormat="false" ht="99.75" hidden="false" customHeight="true" outlineLevel="0" collapsed="false">
      <c r="B24" s="27"/>
      <c r="C24" s="28" t="s">
        <v>37</v>
      </c>
      <c r="D24" s="28"/>
      <c r="E24" s="28"/>
      <c r="F24" s="28"/>
    </row>
    <row r="25" customFormat="false" ht="19.5" hidden="false" customHeight="true" outlineLevel="0" collapsed="false">
      <c r="B25" s="29" t="s">
        <v>38</v>
      </c>
      <c r="C25" s="30" t="s">
        <v>39</v>
      </c>
      <c r="D25" s="31"/>
      <c r="E25" s="31"/>
      <c r="F25" s="31"/>
    </row>
    <row r="26" customFormat="false" ht="78.75" hidden="false" customHeight="true" outlineLevel="0" collapsed="false">
      <c r="B26" s="32"/>
      <c r="C26" s="33" t="s">
        <v>40</v>
      </c>
      <c r="D26" s="33"/>
      <c r="E26" s="33"/>
      <c r="F26" s="33"/>
    </row>
    <row r="27" customFormat="false" ht="19.5" hidden="false" customHeight="true" outlineLevel="0" collapsed="false">
      <c r="B27" s="34" t="s">
        <v>41</v>
      </c>
      <c r="C27" s="35" t="s">
        <v>42</v>
      </c>
      <c r="D27" s="36"/>
      <c r="E27" s="36"/>
      <c r="F27" s="36"/>
    </row>
    <row r="28" customFormat="false" ht="97.5" hidden="false" customHeight="true" outlineLevel="0" collapsed="false">
      <c r="B28" s="37"/>
      <c r="C28" s="38" t="s">
        <v>43</v>
      </c>
      <c r="D28" s="38"/>
      <c r="E28" s="38"/>
      <c r="F28" s="38"/>
    </row>
    <row r="29" customFormat="false" ht="19.5" hidden="false" customHeight="true" outlineLevel="0" collapsed="false">
      <c r="B29" s="39" t="s">
        <v>44</v>
      </c>
      <c r="C29" s="40" t="s">
        <v>45</v>
      </c>
      <c r="D29" s="41"/>
      <c r="E29" s="41"/>
      <c r="F29" s="41"/>
    </row>
    <row r="30" customFormat="false" ht="99.75" hidden="false" customHeight="true" outlineLevel="0" collapsed="false">
      <c r="B30" s="42"/>
      <c r="C30" s="43" t="s">
        <v>46</v>
      </c>
      <c r="D30" s="43"/>
      <c r="E30" s="43"/>
      <c r="F30" s="43"/>
    </row>
    <row r="31" customFormat="false" ht="19.5" hidden="false" customHeight="true" outlineLevel="0" collapsed="false">
      <c r="B31" s="29" t="s">
        <v>47</v>
      </c>
      <c r="C31" s="30" t="s">
        <v>48</v>
      </c>
      <c r="D31" s="31"/>
      <c r="E31" s="31"/>
      <c r="F31" s="31"/>
    </row>
    <row r="32" customFormat="false" ht="99.75" hidden="false" customHeight="true" outlineLevel="0" collapsed="false">
      <c r="B32" s="32"/>
      <c r="C32" s="33" t="s">
        <v>49</v>
      </c>
      <c r="D32" s="33"/>
      <c r="E32" s="33"/>
      <c r="F32" s="33"/>
    </row>
    <row r="33" customFormat="false" ht="19.5" hidden="false" customHeight="true" outlineLevel="0" collapsed="false">
      <c r="B33" s="44" t="s">
        <v>50</v>
      </c>
      <c r="C33" s="45" t="s">
        <v>51</v>
      </c>
      <c r="D33" s="46"/>
      <c r="E33" s="46"/>
      <c r="F33" s="46"/>
    </row>
    <row r="34" customFormat="false" ht="99.75" hidden="false" customHeight="true" outlineLevel="0" collapsed="false">
      <c r="B34" s="47"/>
      <c r="C34" s="48" t="s">
        <v>52</v>
      </c>
      <c r="D34" s="48"/>
      <c r="E34" s="48"/>
      <c r="F34" s="48"/>
    </row>
    <row r="35" customFormat="false" ht="19.5" hidden="false" customHeight="true" outlineLevel="0" collapsed="false">
      <c r="B35" s="24" t="s">
        <v>53</v>
      </c>
      <c r="C35" s="25" t="s">
        <v>54</v>
      </c>
      <c r="D35" s="26"/>
      <c r="E35" s="26"/>
      <c r="F35" s="26"/>
    </row>
    <row r="36" customFormat="false" ht="99.75" hidden="false" customHeight="true" outlineLevel="0" collapsed="false">
      <c r="B36" s="27"/>
      <c r="C36" s="28" t="s">
        <v>55</v>
      </c>
      <c r="D36" s="28"/>
      <c r="E36" s="28"/>
      <c r="F36" s="28"/>
    </row>
    <row r="38" customFormat="false" ht="25.5" hidden="false" customHeight="true" outlineLevel="0" collapsed="false">
      <c r="B38" s="4" t="s">
        <v>56</v>
      </c>
      <c r="C38" s="4"/>
      <c r="D38" s="4"/>
      <c r="E38" s="4"/>
      <c r="F38" s="4"/>
    </row>
    <row r="39" customFormat="false" ht="109.5" hidden="false" customHeight="true" outlineLevel="0" collapsed="false">
      <c r="B39" s="49" t="s">
        <v>57</v>
      </c>
      <c r="C39" s="49"/>
      <c r="D39" s="49"/>
      <c r="E39" s="49"/>
      <c r="F39" s="49"/>
    </row>
    <row r="41" customFormat="false" ht="21.75" hidden="false" customHeight="true" outlineLevel="0" collapsed="false">
      <c r="B41" s="50" t="s">
        <v>58</v>
      </c>
      <c r="C41" s="50"/>
      <c r="D41" s="50"/>
      <c r="E41" s="50"/>
      <c r="F41" s="50"/>
    </row>
    <row r="42" customFormat="false" ht="79.5" hidden="false" customHeight="true" outlineLevel="0" collapsed="false">
      <c r="B42" s="51" t="s">
        <v>59</v>
      </c>
      <c r="C42" s="51"/>
      <c r="D42" s="51"/>
      <c r="E42" s="51"/>
      <c r="F42" s="51"/>
    </row>
    <row r="43" customFormat="false" ht="19.5" hidden="false" customHeight="true" outlineLevel="0" collapsed="false">
      <c r="B43" s="6" t="s">
        <v>60</v>
      </c>
      <c r="C43" s="6" t="s">
        <v>61</v>
      </c>
      <c r="D43" s="52" t="s">
        <v>62</v>
      </c>
      <c r="E43" s="52"/>
      <c r="F43" s="52"/>
    </row>
    <row r="44" customFormat="false" ht="27.75" hidden="false" customHeight="true" outlineLevel="0" collapsed="false">
      <c r="B44" s="53" t="s">
        <v>63</v>
      </c>
      <c r="C44" s="54" t="s">
        <v>64</v>
      </c>
      <c r="D44" s="55" t="s">
        <v>65</v>
      </c>
      <c r="E44" s="55"/>
      <c r="F44" s="55"/>
    </row>
    <row r="45" customFormat="false" ht="27.75" hidden="false" customHeight="true" outlineLevel="0" collapsed="false">
      <c r="B45" s="56" t="s">
        <v>66</v>
      </c>
      <c r="C45" s="54" t="s">
        <v>64</v>
      </c>
      <c r="D45" s="57" t="s">
        <v>67</v>
      </c>
      <c r="E45" s="57"/>
      <c r="F45" s="57"/>
    </row>
    <row r="46" customFormat="false" ht="27.75" hidden="false" customHeight="true" outlineLevel="0" collapsed="false">
      <c r="B46" s="53" t="s">
        <v>68</v>
      </c>
      <c r="C46" s="54" t="s">
        <v>64</v>
      </c>
      <c r="D46" s="55" t="s">
        <v>69</v>
      </c>
      <c r="E46" s="55"/>
      <c r="F46" s="55"/>
    </row>
    <row r="47" customFormat="false" ht="27.75" hidden="false" customHeight="true" outlineLevel="0" collapsed="false">
      <c r="B47" s="56" t="s">
        <v>70</v>
      </c>
      <c r="C47" s="54" t="s">
        <v>64</v>
      </c>
      <c r="D47" s="57" t="s">
        <v>71</v>
      </c>
      <c r="E47" s="57"/>
      <c r="F47" s="57"/>
    </row>
    <row r="48" customFormat="false" ht="27.75" hidden="false" customHeight="true" outlineLevel="0" collapsed="false">
      <c r="B48" s="53" t="s">
        <v>72</v>
      </c>
      <c r="C48" s="54" t="s">
        <v>64</v>
      </c>
      <c r="D48" s="55" t="s">
        <v>73</v>
      </c>
      <c r="E48" s="55"/>
      <c r="F48" s="55"/>
    </row>
    <row r="49" customFormat="false" ht="27.75" hidden="false" customHeight="true" outlineLevel="0" collapsed="false">
      <c r="B49" s="56" t="s">
        <v>74</v>
      </c>
      <c r="C49" s="54" t="s">
        <v>64</v>
      </c>
      <c r="D49" s="57" t="s">
        <v>75</v>
      </c>
      <c r="E49" s="57"/>
      <c r="F49" s="57"/>
    </row>
    <row r="51" customFormat="false" ht="21.75" hidden="false" customHeight="true" outlineLevel="0" collapsed="false">
      <c r="B51" s="50" t="s">
        <v>76</v>
      </c>
      <c r="C51" s="50"/>
      <c r="D51" s="50"/>
      <c r="E51" s="50"/>
      <c r="F51" s="50"/>
    </row>
    <row r="52" customFormat="false" ht="90" hidden="false" customHeight="true" outlineLevel="0" collapsed="false">
      <c r="B52" s="58" t="s">
        <v>77</v>
      </c>
      <c r="C52" s="58"/>
      <c r="D52" s="58"/>
      <c r="E52" s="58"/>
      <c r="F52" s="58"/>
    </row>
    <row r="53" customFormat="false" ht="19.5" hidden="false" customHeight="true" outlineLevel="0" collapsed="false">
      <c r="B53" s="6" t="s">
        <v>60</v>
      </c>
      <c r="C53" s="6" t="s">
        <v>61</v>
      </c>
      <c r="D53" s="52" t="s">
        <v>78</v>
      </c>
      <c r="E53" s="52"/>
      <c r="F53" s="6" t="s">
        <v>79</v>
      </c>
    </row>
    <row r="54" customFormat="false" ht="39.75" hidden="false" customHeight="true" outlineLevel="0" collapsed="false">
      <c r="B54" s="53" t="s">
        <v>80</v>
      </c>
      <c r="C54" s="59" t="s">
        <v>81</v>
      </c>
      <c r="D54" s="38" t="s">
        <v>82</v>
      </c>
      <c r="E54" s="38"/>
      <c r="F54" s="60" t="s">
        <v>83</v>
      </c>
    </row>
    <row r="55" customFormat="false" ht="39.75" hidden="false" customHeight="true" outlineLevel="0" collapsed="false">
      <c r="B55" s="56" t="s">
        <v>84</v>
      </c>
      <c r="C55" s="59" t="s">
        <v>85</v>
      </c>
      <c r="D55" s="61" t="s">
        <v>86</v>
      </c>
      <c r="E55" s="61"/>
      <c r="F55" s="60" t="s">
        <v>83</v>
      </c>
    </row>
    <row r="56" customFormat="false" ht="39.75" hidden="false" customHeight="true" outlineLevel="0" collapsed="false">
      <c r="B56" s="53" t="s">
        <v>87</v>
      </c>
      <c r="C56" s="59" t="s">
        <v>88</v>
      </c>
      <c r="D56" s="38" t="s">
        <v>89</v>
      </c>
      <c r="E56" s="38"/>
      <c r="F56" s="60" t="s">
        <v>90</v>
      </c>
    </row>
    <row r="57" customFormat="false" ht="39.75" hidden="false" customHeight="true" outlineLevel="0" collapsed="false">
      <c r="B57" s="56" t="s">
        <v>91</v>
      </c>
      <c r="C57" s="59" t="s">
        <v>92</v>
      </c>
      <c r="D57" s="61" t="s">
        <v>93</v>
      </c>
      <c r="E57" s="61"/>
      <c r="F57" s="60" t="s">
        <v>94</v>
      </c>
    </row>
    <row r="58" customFormat="false" ht="39.75" hidden="false" customHeight="true" outlineLevel="0" collapsed="false">
      <c r="B58" s="53" t="s">
        <v>95</v>
      </c>
      <c r="C58" s="59" t="s">
        <v>96</v>
      </c>
      <c r="D58" s="38" t="s">
        <v>97</v>
      </c>
      <c r="E58" s="38"/>
      <c r="F58" s="60" t="s">
        <v>94</v>
      </c>
    </row>
    <row r="59" customFormat="false" ht="39.75" hidden="false" customHeight="true" outlineLevel="0" collapsed="false">
      <c r="B59" s="56" t="s">
        <v>98</v>
      </c>
      <c r="C59" s="59" t="s">
        <v>96</v>
      </c>
      <c r="D59" s="61" t="s">
        <v>99</v>
      </c>
      <c r="E59" s="61"/>
      <c r="F59" s="60" t="s">
        <v>100</v>
      </c>
    </row>
    <row r="60" customFormat="false" ht="39.75" hidden="false" customHeight="true" outlineLevel="0" collapsed="false">
      <c r="B60" s="53" t="s">
        <v>101</v>
      </c>
      <c r="C60" s="59" t="s">
        <v>64</v>
      </c>
      <c r="D60" s="38" t="s">
        <v>102</v>
      </c>
      <c r="E60" s="38"/>
      <c r="F60" s="60" t="s">
        <v>103</v>
      </c>
    </row>
    <row r="61" customFormat="false" ht="39.75" hidden="false" customHeight="true" outlineLevel="0" collapsed="false">
      <c r="B61" s="56" t="s">
        <v>104</v>
      </c>
      <c r="C61" s="59" t="s">
        <v>85</v>
      </c>
      <c r="D61" s="61" t="s">
        <v>105</v>
      </c>
      <c r="E61" s="61"/>
      <c r="F61" s="60" t="s">
        <v>106</v>
      </c>
    </row>
    <row r="63" customFormat="false" ht="25.5" hidden="false" customHeight="true" outlineLevel="0" collapsed="false">
      <c r="B63" s="62" t="s">
        <v>107</v>
      </c>
      <c r="C63" s="62"/>
      <c r="D63" s="62"/>
      <c r="E63" s="62"/>
      <c r="F63" s="62"/>
    </row>
    <row r="64" customFormat="false" ht="90" hidden="false" customHeight="true" outlineLevel="0" collapsed="false">
      <c r="B64" s="63" t="s">
        <v>108</v>
      </c>
      <c r="C64" s="63"/>
      <c r="D64" s="63"/>
      <c r="E64" s="63"/>
      <c r="F64" s="63"/>
    </row>
    <row r="66" customFormat="false" ht="25.5" hidden="false" customHeight="true" outlineLevel="0" collapsed="false">
      <c r="B66" s="4" t="s">
        <v>109</v>
      </c>
      <c r="C66" s="4"/>
      <c r="D66" s="4"/>
      <c r="E66" s="4"/>
      <c r="F66" s="4"/>
    </row>
    <row r="67" customFormat="false" ht="21.75" hidden="false" customHeight="true" outlineLevel="0" collapsed="false">
      <c r="B67" s="59" t="s">
        <v>110</v>
      </c>
      <c r="C67" s="64" t="s">
        <v>111</v>
      </c>
      <c r="D67" s="64"/>
      <c r="E67" s="64"/>
      <c r="F67" s="64"/>
    </row>
    <row r="68" customFormat="false" ht="21.75" hidden="false" customHeight="true" outlineLevel="0" collapsed="false">
      <c r="B68" s="65" t="s">
        <v>112</v>
      </c>
      <c r="C68" s="64" t="s">
        <v>113</v>
      </c>
      <c r="D68" s="64"/>
      <c r="E68" s="64"/>
      <c r="F68" s="64"/>
    </row>
    <row r="69" customFormat="false" ht="21.75" hidden="false" customHeight="true" outlineLevel="0" collapsed="false">
      <c r="B69" s="66" t="s">
        <v>114</v>
      </c>
      <c r="C69" s="64" t="s">
        <v>115</v>
      </c>
      <c r="D69" s="64"/>
      <c r="E69" s="64"/>
      <c r="F69" s="64"/>
    </row>
    <row r="70" customFormat="false" ht="21.75" hidden="false" customHeight="true" outlineLevel="0" collapsed="false">
      <c r="B70" s="67" t="s">
        <v>116</v>
      </c>
      <c r="C70" s="64" t="s">
        <v>117</v>
      </c>
      <c r="D70" s="64"/>
      <c r="E70" s="64"/>
      <c r="F70" s="64"/>
    </row>
    <row r="71" customFormat="false" ht="21.75" hidden="false" customHeight="true" outlineLevel="0" collapsed="false">
      <c r="B71" s="68" t="s">
        <v>118</v>
      </c>
      <c r="C71" s="64" t="s">
        <v>119</v>
      </c>
      <c r="D71" s="64"/>
      <c r="E71" s="64"/>
      <c r="F71" s="64"/>
    </row>
    <row r="72" customFormat="false" ht="21.75" hidden="false" customHeight="true" outlineLevel="0" collapsed="false">
      <c r="B72" s="39" t="s">
        <v>120</v>
      </c>
      <c r="C72" s="64" t="s">
        <v>121</v>
      </c>
      <c r="D72" s="64"/>
      <c r="E72" s="64"/>
      <c r="F72" s="64"/>
    </row>
    <row r="73" customFormat="false" ht="21.75" hidden="false" customHeight="true" outlineLevel="0" collapsed="false">
      <c r="B73" s="69" t="s">
        <v>122</v>
      </c>
      <c r="C73" s="64" t="s">
        <v>123</v>
      </c>
      <c r="D73" s="64"/>
      <c r="E73" s="64"/>
      <c r="F73" s="64"/>
    </row>
    <row r="75" customFormat="false" ht="25.5" hidden="false" customHeight="true" outlineLevel="0" collapsed="false">
      <c r="B75" s="4" t="s">
        <v>124</v>
      </c>
      <c r="C75" s="4"/>
      <c r="D75" s="4"/>
      <c r="E75" s="4"/>
      <c r="F75" s="4"/>
    </row>
    <row r="76" customFormat="false" ht="21.75" hidden="false" customHeight="true" outlineLevel="0" collapsed="false">
      <c r="B76" s="70" t="s">
        <v>125</v>
      </c>
      <c r="C76" s="71" t="s">
        <v>126</v>
      </c>
      <c r="D76" s="26"/>
      <c r="E76" s="26"/>
      <c r="F76" s="26"/>
    </row>
    <row r="77" customFormat="false" ht="51.75" hidden="false" customHeight="true" outlineLevel="0" collapsed="false">
      <c r="B77" s="28" t="s">
        <v>127</v>
      </c>
      <c r="C77" s="28"/>
      <c r="D77" s="28"/>
      <c r="E77" s="28"/>
      <c r="F77" s="28"/>
    </row>
    <row r="78" customFormat="false" ht="21.75" hidden="false" customHeight="true" outlineLevel="0" collapsed="false">
      <c r="B78" s="72" t="s">
        <v>128</v>
      </c>
      <c r="C78" s="73" t="s">
        <v>129</v>
      </c>
      <c r="D78" s="74"/>
      <c r="E78" s="74"/>
      <c r="F78" s="74"/>
    </row>
    <row r="79" customFormat="false" ht="51.75" hidden="false" customHeight="true" outlineLevel="0" collapsed="false">
      <c r="B79" s="61" t="s">
        <v>130</v>
      </c>
      <c r="C79" s="61"/>
      <c r="D79" s="61"/>
      <c r="E79" s="61"/>
      <c r="F79" s="61"/>
    </row>
    <row r="80" customFormat="false" ht="21.75" hidden="false" customHeight="true" outlineLevel="0" collapsed="false">
      <c r="B80" s="70" t="s">
        <v>131</v>
      </c>
      <c r="C80" s="71" t="s">
        <v>132</v>
      </c>
      <c r="D80" s="26"/>
      <c r="E80" s="26"/>
      <c r="F80" s="26"/>
    </row>
    <row r="81" customFormat="false" ht="51.75" hidden="false" customHeight="true" outlineLevel="0" collapsed="false">
      <c r="B81" s="28" t="s">
        <v>133</v>
      </c>
      <c r="C81" s="28"/>
      <c r="D81" s="28"/>
      <c r="E81" s="28"/>
      <c r="F81" s="28"/>
    </row>
    <row r="82" customFormat="false" ht="21.75" hidden="false" customHeight="true" outlineLevel="0" collapsed="false">
      <c r="B82" s="72" t="s">
        <v>134</v>
      </c>
      <c r="C82" s="73" t="s">
        <v>135</v>
      </c>
      <c r="D82" s="74"/>
      <c r="E82" s="74"/>
      <c r="F82" s="74"/>
    </row>
    <row r="83" customFormat="false" ht="51.75" hidden="false" customHeight="true" outlineLevel="0" collapsed="false">
      <c r="B83" s="61" t="s">
        <v>136</v>
      </c>
      <c r="C83" s="61"/>
      <c r="D83" s="61"/>
      <c r="E83" s="61"/>
      <c r="F83" s="61"/>
    </row>
    <row r="84" customFormat="false" ht="21.75" hidden="false" customHeight="true" outlineLevel="0" collapsed="false">
      <c r="B84" s="70" t="s">
        <v>137</v>
      </c>
      <c r="C84" s="71" t="s">
        <v>138</v>
      </c>
      <c r="D84" s="26"/>
      <c r="E84" s="26"/>
      <c r="F84" s="26"/>
    </row>
    <row r="85" customFormat="false" ht="51.75" hidden="false" customHeight="true" outlineLevel="0" collapsed="false">
      <c r="B85" s="28" t="s">
        <v>139</v>
      </c>
      <c r="C85" s="28"/>
      <c r="D85" s="28"/>
      <c r="E85" s="28"/>
      <c r="F85" s="28"/>
    </row>
    <row r="87" customFormat="false" ht="25.5" hidden="false" customHeight="true" outlineLevel="0" collapsed="false">
      <c r="B87" s="4" t="s">
        <v>140</v>
      </c>
      <c r="C87" s="4"/>
      <c r="D87" s="4"/>
      <c r="E87" s="4"/>
      <c r="F87" s="4"/>
    </row>
    <row r="88" customFormat="false" ht="19.5" hidden="false" customHeight="true" outlineLevel="0" collapsed="false">
      <c r="B88" s="75" t="s">
        <v>141</v>
      </c>
      <c r="C88" s="36"/>
      <c r="D88" s="36"/>
      <c r="E88" s="36"/>
      <c r="F88" s="36"/>
    </row>
    <row r="89" customFormat="false" ht="88.5" hidden="false" customHeight="true" outlineLevel="0" collapsed="false">
      <c r="B89" s="38" t="s">
        <v>142</v>
      </c>
      <c r="C89" s="38"/>
      <c r="D89" s="38"/>
      <c r="E89" s="38"/>
      <c r="F89" s="38"/>
    </row>
    <row r="90" customFormat="false" ht="19.5" hidden="false" customHeight="true" outlineLevel="0" collapsed="false">
      <c r="B90" s="76" t="s">
        <v>143</v>
      </c>
      <c r="C90" s="74"/>
      <c r="D90" s="74"/>
      <c r="E90" s="74"/>
      <c r="F90" s="74"/>
    </row>
    <row r="91" customFormat="false" ht="90" hidden="false" customHeight="true" outlineLevel="0" collapsed="false">
      <c r="B91" s="61" t="s">
        <v>144</v>
      </c>
      <c r="C91" s="61"/>
      <c r="D91" s="61"/>
      <c r="E91" s="61"/>
      <c r="F91" s="61"/>
    </row>
    <row r="92" customFormat="false" ht="19.5" hidden="false" customHeight="true" outlineLevel="0" collapsed="false">
      <c r="B92" s="75" t="s">
        <v>145</v>
      </c>
      <c r="C92" s="36"/>
      <c r="D92" s="36"/>
      <c r="E92" s="36"/>
      <c r="F92" s="36"/>
    </row>
    <row r="93" customFormat="false" ht="90" hidden="false" customHeight="true" outlineLevel="0" collapsed="false">
      <c r="B93" s="38" t="s">
        <v>146</v>
      </c>
      <c r="C93" s="38"/>
      <c r="D93" s="38"/>
      <c r="E93" s="38"/>
      <c r="F93" s="38"/>
    </row>
    <row r="94" customFormat="false" ht="19.5" hidden="false" customHeight="true" outlineLevel="0" collapsed="false">
      <c r="B94" s="76" t="s">
        <v>147</v>
      </c>
      <c r="C94" s="74"/>
      <c r="D94" s="74"/>
      <c r="E94" s="74"/>
      <c r="F94" s="74"/>
    </row>
    <row r="95" customFormat="false" ht="90" hidden="false" customHeight="true" outlineLevel="0" collapsed="false">
      <c r="B95" s="61" t="s">
        <v>148</v>
      </c>
      <c r="C95" s="61"/>
      <c r="D95" s="61"/>
      <c r="E95" s="61"/>
      <c r="F95" s="61"/>
    </row>
    <row r="96" customFormat="false" ht="19.5" hidden="false" customHeight="true" outlineLevel="0" collapsed="false">
      <c r="B96" s="75" t="s">
        <v>149</v>
      </c>
      <c r="C96" s="36"/>
      <c r="D96" s="36"/>
      <c r="E96" s="36"/>
      <c r="F96" s="36"/>
    </row>
    <row r="97" customFormat="false" ht="90" hidden="false" customHeight="true" outlineLevel="0" collapsed="false">
      <c r="B97" s="38" t="s">
        <v>150</v>
      </c>
      <c r="C97" s="38"/>
      <c r="D97" s="38"/>
      <c r="E97" s="38"/>
      <c r="F97" s="38"/>
    </row>
    <row r="99" customFormat="false" ht="19.5" hidden="false" customHeight="true" outlineLevel="0" collapsed="false">
      <c r="B99" s="77" t="s">
        <v>151</v>
      </c>
      <c r="C99" s="77"/>
      <c r="D99" s="77"/>
      <c r="E99" s="77"/>
      <c r="F99" s="77"/>
    </row>
  </sheetData>
  <mergeCells count="86">
    <mergeCell ref="B2:F2"/>
    <mergeCell ref="B3:F3"/>
    <mergeCell ref="B5:F5"/>
    <mergeCell ref="B6:F6"/>
    <mergeCell ref="B8:F8"/>
    <mergeCell ref="D10:F10"/>
    <mergeCell ref="D11:F11"/>
    <mergeCell ref="D12:F12"/>
    <mergeCell ref="D13:F13"/>
    <mergeCell ref="D14:F14"/>
    <mergeCell ref="D15:F15"/>
    <mergeCell ref="D16:F16"/>
    <mergeCell ref="D17:F17"/>
    <mergeCell ref="D18:F18"/>
    <mergeCell ref="B20:F20"/>
    <mergeCell ref="D21:F21"/>
    <mergeCell ref="C22:F22"/>
    <mergeCell ref="D23:F23"/>
    <mergeCell ref="C24:F24"/>
    <mergeCell ref="D25:F25"/>
    <mergeCell ref="C26:F26"/>
    <mergeCell ref="D27:F27"/>
    <mergeCell ref="C28:F28"/>
    <mergeCell ref="D29:F29"/>
    <mergeCell ref="C30:F30"/>
    <mergeCell ref="D31:F31"/>
    <mergeCell ref="C32:F32"/>
    <mergeCell ref="D33:F33"/>
    <mergeCell ref="C34:F34"/>
    <mergeCell ref="D35:F35"/>
    <mergeCell ref="C36:F36"/>
    <mergeCell ref="B38:F38"/>
    <mergeCell ref="B39:F39"/>
    <mergeCell ref="B41:F41"/>
    <mergeCell ref="B42:F42"/>
    <mergeCell ref="D43:F43"/>
    <mergeCell ref="D44:F44"/>
    <mergeCell ref="D45:F45"/>
    <mergeCell ref="D46:F46"/>
    <mergeCell ref="D47:F47"/>
    <mergeCell ref="D48:F48"/>
    <mergeCell ref="D49:F49"/>
    <mergeCell ref="B51:F51"/>
    <mergeCell ref="B52:F52"/>
    <mergeCell ref="D53:E53"/>
    <mergeCell ref="D54:E54"/>
    <mergeCell ref="D55:E55"/>
    <mergeCell ref="D56:E56"/>
    <mergeCell ref="D57:E57"/>
    <mergeCell ref="D58:E58"/>
    <mergeCell ref="D59:E59"/>
    <mergeCell ref="D60:E60"/>
    <mergeCell ref="D61:E61"/>
    <mergeCell ref="B63:F63"/>
    <mergeCell ref="B64:F64"/>
    <mergeCell ref="B66:F66"/>
    <mergeCell ref="C67:F67"/>
    <mergeCell ref="C68:F68"/>
    <mergeCell ref="C69:F69"/>
    <mergeCell ref="C70:F70"/>
    <mergeCell ref="C71:F71"/>
    <mergeCell ref="C72:F72"/>
    <mergeCell ref="C73:F73"/>
    <mergeCell ref="B75:F75"/>
    <mergeCell ref="D76:F76"/>
    <mergeCell ref="B77:F77"/>
    <mergeCell ref="D78:F78"/>
    <mergeCell ref="B79:F79"/>
    <mergeCell ref="D80:F80"/>
    <mergeCell ref="B81:F81"/>
    <mergeCell ref="D82:F82"/>
    <mergeCell ref="B83:F83"/>
    <mergeCell ref="D84:F84"/>
    <mergeCell ref="B85:F85"/>
    <mergeCell ref="B87:F87"/>
    <mergeCell ref="C88:F88"/>
    <mergeCell ref="B89:F89"/>
    <mergeCell ref="C90:F90"/>
    <mergeCell ref="B91:F91"/>
    <mergeCell ref="C92:F92"/>
    <mergeCell ref="B93:F93"/>
    <mergeCell ref="C94:F94"/>
    <mergeCell ref="B95:F95"/>
    <mergeCell ref="C96:F96"/>
    <mergeCell ref="B97:F97"/>
    <mergeCell ref="B99:F9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4" min="3" style="1" width="30"/>
    <col collapsed="false" customWidth="true" hidden="false" outlineLevel="0" max="6" min="5" style="1" width="20"/>
  </cols>
  <sheetData>
    <row r="1" customFormat="false" ht="9.75" hidden="false" customHeight="true" outlineLevel="0" collapsed="false"/>
    <row r="2" customFormat="false" ht="49.5" hidden="false" customHeight="true" outlineLevel="0" collapsed="false">
      <c r="B2" s="78" t="s">
        <v>0</v>
      </c>
      <c r="C2" s="78"/>
      <c r="D2" s="78"/>
      <c r="E2" s="78"/>
      <c r="F2" s="78"/>
    </row>
    <row r="3" customFormat="false" ht="27.75" hidden="false" customHeight="true" outlineLevel="0" collapsed="false">
      <c r="B3" s="79" t="s">
        <v>152</v>
      </c>
      <c r="C3" s="79"/>
      <c r="D3" s="79"/>
      <c r="E3" s="79"/>
      <c r="F3" s="79"/>
    </row>
    <row r="4" customFormat="false" ht="7.5" hidden="false" customHeight="true" outlineLevel="0" collapsed="false"/>
    <row r="5" customFormat="false" ht="21.75" hidden="false" customHeight="true" outlineLevel="0" collapsed="false">
      <c r="B5" s="80" t="s">
        <v>153</v>
      </c>
      <c r="C5" s="81" t="s">
        <v>154</v>
      </c>
      <c r="D5" s="81"/>
      <c r="E5" s="81"/>
      <c r="F5" s="81"/>
    </row>
    <row r="6" customFormat="false" ht="21.75" hidden="false" customHeight="true" outlineLevel="0" collapsed="false">
      <c r="B6" s="80" t="s">
        <v>155</v>
      </c>
      <c r="C6" s="81" t="s">
        <v>156</v>
      </c>
      <c r="D6" s="81"/>
      <c r="E6" s="81"/>
      <c r="F6" s="81"/>
    </row>
    <row r="7" customFormat="false" ht="21.75" hidden="false" customHeight="true" outlineLevel="0" collapsed="false">
      <c r="B7" s="80" t="s">
        <v>157</v>
      </c>
      <c r="C7" s="81" t="s">
        <v>158</v>
      </c>
      <c r="D7" s="81"/>
      <c r="E7" s="81"/>
      <c r="F7" s="81"/>
    </row>
    <row r="8" customFormat="false" ht="21.75" hidden="false" customHeight="true" outlineLevel="0" collapsed="false">
      <c r="B8" s="80" t="s">
        <v>159</v>
      </c>
      <c r="C8" s="81" t="s">
        <v>160</v>
      </c>
      <c r="D8" s="81"/>
      <c r="E8" s="81"/>
      <c r="F8" s="81"/>
    </row>
    <row r="9" customFormat="false" ht="21.75" hidden="false" customHeight="true" outlineLevel="0" collapsed="false">
      <c r="B9" s="80" t="s">
        <v>161</v>
      </c>
      <c r="C9" s="82" t="s">
        <v>162</v>
      </c>
      <c r="D9" s="82"/>
      <c r="E9" s="82"/>
      <c r="F9" s="82"/>
    </row>
    <row r="10" customFormat="false" ht="21.75" hidden="false" customHeight="true" outlineLevel="0" collapsed="false">
      <c r="B10" s="80" t="s">
        <v>163</v>
      </c>
      <c r="C10" s="81" t="s">
        <v>164</v>
      </c>
      <c r="D10" s="81"/>
      <c r="E10" s="81"/>
      <c r="F10" s="81"/>
    </row>
    <row r="11" customFormat="false" ht="21.75" hidden="false" customHeight="true" outlineLevel="0" collapsed="false">
      <c r="B11" s="80" t="s">
        <v>165</v>
      </c>
      <c r="C11" s="81" t="s">
        <v>166</v>
      </c>
      <c r="D11" s="81"/>
      <c r="E11" s="81"/>
      <c r="F11" s="81"/>
    </row>
    <row r="12" customFormat="false" ht="21.75" hidden="false" customHeight="true" outlineLevel="0" collapsed="false">
      <c r="B12" s="80" t="s">
        <v>167</v>
      </c>
      <c r="C12" s="82" t="s">
        <v>168</v>
      </c>
      <c r="D12" s="82"/>
      <c r="E12" s="82"/>
      <c r="F12" s="82"/>
    </row>
    <row r="15" customFormat="false" ht="24" hidden="false" customHeight="true" outlineLevel="0" collapsed="false">
      <c r="B15" s="4" t="s">
        <v>169</v>
      </c>
      <c r="C15" s="4"/>
      <c r="D15" s="4"/>
      <c r="E15" s="4"/>
      <c r="F15" s="4"/>
    </row>
    <row r="16" customFormat="false" ht="19.5" hidden="false" customHeight="true" outlineLevel="0" collapsed="false">
      <c r="B16" s="83" t="s">
        <v>170</v>
      </c>
      <c r="C16" s="8" t="s">
        <v>171</v>
      </c>
      <c r="D16" s="8"/>
      <c r="E16" s="8"/>
      <c r="F16" s="8"/>
    </row>
    <row r="17" customFormat="false" ht="19.5" hidden="false" customHeight="true" outlineLevel="0" collapsed="false">
      <c r="B17" s="84" t="s">
        <v>172</v>
      </c>
      <c r="C17" s="14" t="s">
        <v>173</v>
      </c>
      <c r="D17" s="14"/>
      <c r="E17" s="14"/>
      <c r="F17" s="14"/>
    </row>
    <row r="18" customFormat="false" ht="19.5" hidden="false" customHeight="true" outlineLevel="0" collapsed="false">
      <c r="B18" s="85" t="s">
        <v>174</v>
      </c>
      <c r="C18" s="11" t="s">
        <v>175</v>
      </c>
      <c r="D18" s="11"/>
      <c r="E18" s="11"/>
      <c r="F18" s="11"/>
    </row>
    <row r="19" customFormat="false" ht="19.5" hidden="false" customHeight="true" outlineLevel="0" collapsed="false">
      <c r="B19" s="86" t="s">
        <v>176</v>
      </c>
      <c r="C19" s="87" t="s">
        <v>177</v>
      </c>
      <c r="D19" s="87"/>
      <c r="E19" s="87"/>
      <c r="F19" s="87"/>
    </row>
    <row r="20" customFormat="false" ht="19.5" hidden="false" customHeight="true" outlineLevel="0" collapsed="false">
      <c r="B20" s="88" t="s">
        <v>178</v>
      </c>
      <c r="C20" s="17" t="s">
        <v>179</v>
      </c>
      <c r="D20" s="17"/>
      <c r="E20" s="17"/>
      <c r="F20" s="17"/>
    </row>
    <row r="21" customFormat="false" ht="19.5" hidden="false" customHeight="true" outlineLevel="0" collapsed="false">
      <c r="B21" s="89" t="s">
        <v>180</v>
      </c>
      <c r="C21" s="53" t="s">
        <v>181</v>
      </c>
      <c r="D21" s="53"/>
      <c r="E21" s="53"/>
      <c r="F21" s="53"/>
    </row>
    <row r="22" customFormat="false" ht="19.5" hidden="false" customHeight="true" outlineLevel="0" collapsed="false">
      <c r="B22" s="83" t="s">
        <v>182</v>
      </c>
      <c r="C22" s="8" t="s">
        <v>183</v>
      </c>
      <c r="D22" s="8"/>
      <c r="E22" s="8"/>
      <c r="F22" s="8"/>
    </row>
    <row r="24" customFormat="false" ht="18" hidden="false" customHeight="true" outlineLevel="0" collapsed="false">
      <c r="B24" s="90" t="s">
        <v>184</v>
      </c>
      <c r="C24" s="90"/>
      <c r="D24" s="90"/>
      <c r="E24" s="90"/>
      <c r="F24" s="90"/>
    </row>
  </sheetData>
  <mergeCells count="19">
    <mergeCell ref="B2:F2"/>
    <mergeCell ref="B3:F3"/>
    <mergeCell ref="C5:F5"/>
    <mergeCell ref="C6:F6"/>
    <mergeCell ref="C7:F7"/>
    <mergeCell ref="C8:F8"/>
    <mergeCell ref="C9:F9"/>
    <mergeCell ref="C10:F10"/>
    <mergeCell ref="C11:F11"/>
    <mergeCell ref="C12:F12"/>
    <mergeCell ref="B15:F15"/>
    <mergeCell ref="C16:F16"/>
    <mergeCell ref="C17:F17"/>
    <mergeCell ref="C18:F18"/>
    <mergeCell ref="C19:F19"/>
    <mergeCell ref="C20:F20"/>
    <mergeCell ref="C21:F21"/>
    <mergeCell ref="C22:F22"/>
    <mergeCell ref="B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3" min="3" style="1" width="22"/>
    <col collapsed="false" customWidth="true" hidden="false" outlineLevel="0" max="5" min="4" style="1" width="44"/>
    <col collapsed="false" customWidth="true" hidden="false" outlineLevel="0" max="6" min="6" style="1" width="20"/>
    <col collapsed="false" customWidth="true" hidden="false" outlineLevel="0" max="7" min="7" style="1" width="26"/>
  </cols>
  <sheetData>
    <row r="1" customFormat="false" ht="36" hidden="false" customHeight="true" outlineLevel="0" collapsed="false">
      <c r="B1" s="91" t="s">
        <v>185</v>
      </c>
      <c r="C1" s="91"/>
      <c r="D1" s="91"/>
      <c r="E1" s="91"/>
      <c r="F1" s="91"/>
      <c r="G1" s="91"/>
    </row>
    <row r="3" customFormat="false" ht="15" hidden="false" customHeight="true" outlineLevel="0" collapsed="false">
      <c r="B3" s="50" t="s">
        <v>186</v>
      </c>
      <c r="C3" s="50"/>
      <c r="D3" s="50"/>
      <c r="E3" s="50"/>
      <c r="F3" s="50"/>
      <c r="G3" s="50"/>
    </row>
    <row r="4" customFormat="false" ht="15" hidden="false" customHeight="true" outlineLevel="0" collapsed="false">
      <c r="B4" s="6" t="s">
        <v>187</v>
      </c>
      <c r="C4" s="6" t="s">
        <v>188</v>
      </c>
      <c r="D4" s="6" t="s">
        <v>189</v>
      </c>
      <c r="E4" s="6" t="s">
        <v>190</v>
      </c>
      <c r="F4" s="6" t="s">
        <v>191</v>
      </c>
      <c r="G4" s="6" t="s">
        <v>192</v>
      </c>
    </row>
    <row r="5" customFormat="false" ht="19.5" hidden="false" customHeight="true" outlineLevel="0" collapsed="false">
      <c r="B5" s="92" t="s">
        <v>193</v>
      </c>
      <c r="C5" s="54" t="n">
        <v>18</v>
      </c>
      <c r="D5" s="93" t="s">
        <v>194</v>
      </c>
      <c r="E5" s="93" t="n">
        <v>12</v>
      </c>
      <c r="F5" s="93" t="n">
        <v>36</v>
      </c>
      <c r="G5" s="94" t="s">
        <v>195</v>
      </c>
    </row>
    <row r="6" customFormat="false" ht="19.5" hidden="false" customHeight="true" outlineLevel="0" collapsed="false">
      <c r="B6" s="95" t="s">
        <v>196</v>
      </c>
      <c r="C6" s="54" t="n">
        <v>5</v>
      </c>
      <c r="D6" s="96" t="s">
        <v>197</v>
      </c>
      <c r="E6" s="96" t="n">
        <v>1</v>
      </c>
      <c r="F6" s="96" t="n">
        <v>12</v>
      </c>
      <c r="G6" s="97" t="s">
        <v>198</v>
      </c>
    </row>
    <row r="7" customFormat="false" ht="19.5" hidden="false" customHeight="true" outlineLevel="0" collapsed="false">
      <c r="B7" s="92" t="s">
        <v>199</v>
      </c>
      <c r="C7" s="54" t="n">
        <v>3</v>
      </c>
      <c r="D7" s="93" t="s">
        <v>197</v>
      </c>
      <c r="E7" s="93" t="n">
        <v>1</v>
      </c>
      <c r="F7" s="93" t="n">
        <v>50</v>
      </c>
      <c r="G7" s="94" t="s">
        <v>200</v>
      </c>
    </row>
    <row r="8" customFormat="false" ht="19.5" hidden="false" customHeight="true" outlineLevel="0" collapsed="false">
      <c r="B8" s="95" t="s">
        <v>201</v>
      </c>
      <c r="C8" s="54" t="n">
        <v>25</v>
      </c>
      <c r="D8" s="96" t="s">
        <v>197</v>
      </c>
      <c r="E8" s="96" t="n">
        <v>5</v>
      </c>
      <c r="F8" s="96" t="n">
        <v>150</v>
      </c>
      <c r="G8" s="97" t="s">
        <v>202</v>
      </c>
    </row>
    <row r="9" customFormat="false" ht="19.5" hidden="false" customHeight="true" outlineLevel="0" collapsed="false">
      <c r="B9" s="92" t="s">
        <v>203</v>
      </c>
      <c r="C9" s="54" t="n">
        <v>15</v>
      </c>
      <c r="D9" s="93" t="s">
        <v>197</v>
      </c>
      <c r="E9" s="93" t="n">
        <v>5</v>
      </c>
      <c r="F9" s="93" t="n">
        <v>120</v>
      </c>
      <c r="G9" s="94" t="s">
        <v>204</v>
      </c>
    </row>
    <row r="10" customFormat="false" ht="19.5" hidden="false" customHeight="true" outlineLevel="0" collapsed="false">
      <c r="B10" s="95" t="s">
        <v>205</v>
      </c>
      <c r="C10" s="54" t="n">
        <v>40</v>
      </c>
      <c r="D10" s="96" t="s">
        <v>197</v>
      </c>
      <c r="E10" s="96" t="n">
        <v>10</v>
      </c>
      <c r="F10" s="96" t="n">
        <v>300</v>
      </c>
      <c r="G10" s="97" t="s">
        <v>206</v>
      </c>
    </row>
    <row r="11" customFormat="false" ht="19.5" hidden="false" customHeight="true" outlineLevel="0" collapsed="false">
      <c r="B11" s="92" t="s">
        <v>207</v>
      </c>
      <c r="C11" s="54" t="n">
        <v>10</v>
      </c>
      <c r="D11" s="93" t="s">
        <v>197</v>
      </c>
      <c r="E11" s="93" t="n">
        <v>0</v>
      </c>
      <c r="F11" s="93" t="n">
        <v>100</v>
      </c>
      <c r="G11" s="94" t="s">
        <v>208</v>
      </c>
    </row>
    <row r="12" customFormat="false" ht="19.5" hidden="false" customHeight="true" outlineLevel="0" collapsed="false">
      <c r="B12" s="95" t="s">
        <v>209</v>
      </c>
      <c r="C12" s="54" t="n">
        <v>8</v>
      </c>
      <c r="D12" s="96" t="s">
        <v>197</v>
      </c>
      <c r="E12" s="96" t="n">
        <v>0</v>
      </c>
      <c r="F12" s="96" t="n">
        <v>50</v>
      </c>
      <c r="G12" s="97" t="s">
        <v>210</v>
      </c>
    </row>
    <row r="13" customFormat="false" ht="19.5" hidden="false" customHeight="true" outlineLevel="0" collapsed="false">
      <c r="B13" s="92" t="s">
        <v>211</v>
      </c>
      <c r="C13" s="54" t="n">
        <v>17</v>
      </c>
      <c r="D13" s="93" t="s">
        <v>197</v>
      </c>
      <c r="E13" s="93" t="n">
        <v>0</v>
      </c>
      <c r="F13" s="93" t="n">
        <v>100</v>
      </c>
      <c r="G13" s="94" t="s">
        <v>212</v>
      </c>
    </row>
    <row r="14" customFormat="false" ht="19.5" hidden="false" customHeight="true" outlineLevel="0" collapsed="false">
      <c r="B14" s="95" t="s">
        <v>213</v>
      </c>
      <c r="C14" s="54" t="n">
        <v>15</v>
      </c>
      <c r="D14" s="96" t="s">
        <v>214</v>
      </c>
      <c r="E14" s="96" t="n">
        <v>10</v>
      </c>
      <c r="F14" s="96" t="n">
        <v>25</v>
      </c>
      <c r="G14" s="97" t="s">
        <v>215</v>
      </c>
    </row>
    <row r="15" customFormat="false" ht="19.5" hidden="false" customHeight="true" outlineLevel="0" collapsed="false">
      <c r="B15" s="92" t="s">
        <v>216</v>
      </c>
      <c r="C15" s="54" t="n">
        <v>5</v>
      </c>
      <c r="D15" s="93" t="s">
        <v>214</v>
      </c>
      <c r="E15" s="93" t="n">
        <v>3</v>
      </c>
      <c r="F15" s="93" t="n">
        <v>10</v>
      </c>
      <c r="G15" s="94" t="s">
        <v>217</v>
      </c>
    </row>
    <row r="16" customFormat="false" ht="19.5" hidden="false" customHeight="true" outlineLevel="0" collapsed="false">
      <c r="B16" s="95" t="s">
        <v>218</v>
      </c>
      <c r="C16" s="54" t="n">
        <v>8</v>
      </c>
      <c r="D16" s="96" t="s">
        <v>219</v>
      </c>
      <c r="E16" s="96" t="n">
        <v>7</v>
      </c>
      <c r="F16" s="96" t="n">
        <v>9</v>
      </c>
      <c r="G16" s="97" t="s">
        <v>220</v>
      </c>
    </row>
    <row r="17" customFormat="false" ht="19.5" hidden="false" customHeight="true" outlineLevel="0" collapsed="false">
      <c r="B17" s="92" t="s">
        <v>221</v>
      </c>
      <c r="C17" s="54" t="n">
        <v>20</v>
      </c>
      <c r="D17" s="93" t="s">
        <v>222</v>
      </c>
      <c r="E17" s="93" t="n">
        <v>18</v>
      </c>
      <c r="F17" s="93" t="n">
        <v>22</v>
      </c>
      <c r="G17" s="94" t="s">
        <v>223</v>
      </c>
    </row>
    <row r="18" customFormat="false" ht="19.5" hidden="false" customHeight="true" outlineLevel="0" collapsed="false">
      <c r="B18" s="95" t="s">
        <v>224</v>
      </c>
      <c r="C18" s="54" t="n">
        <v>30</v>
      </c>
      <c r="D18" s="96" t="s">
        <v>214</v>
      </c>
      <c r="E18" s="96" t="n">
        <v>0</v>
      </c>
      <c r="F18" s="96" t="n">
        <v>100</v>
      </c>
      <c r="G18" s="97" t="s">
        <v>225</v>
      </c>
    </row>
    <row r="19" customFormat="false" ht="19.5" hidden="false" customHeight="true" outlineLevel="0" collapsed="false">
      <c r="B19" s="92" t="s">
        <v>226</v>
      </c>
      <c r="C19" s="54" t="n">
        <v>70</v>
      </c>
      <c r="D19" s="93" t="s">
        <v>214</v>
      </c>
      <c r="E19" s="93" t="n">
        <v>0</v>
      </c>
      <c r="F19" s="93" t="n">
        <v>100</v>
      </c>
      <c r="G19" s="94" t="s">
        <v>227</v>
      </c>
    </row>
    <row r="21" customFormat="false" ht="15" hidden="false" customHeight="true" outlineLevel="0" collapsed="false">
      <c r="B21" s="50" t="s">
        <v>228</v>
      </c>
      <c r="C21" s="50"/>
      <c r="D21" s="50"/>
      <c r="E21" s="50"/>
      <c r="F21" s="50"/>
      <c r="G21" s="50"/>
    </row>
    <row r="22" customFormat="false" ht="15" hidden="false" customHeight="true" outlineLevel="0" collapsed="false">
      <c r="B22" s="6" t="s">
        <v>229</v>
      </c>
      <c r="C22" s="6" t="s">
        <v>230</v>
      </c>
      <c r="D22" s="6" t="s">
        <v>231</v>
      </c>
      <c r="E22" s="6" t="s">
        <v>232</v>
      </c>
      <c r="F22" s="6" t="s">
        <v>233</v>
      </c>
      <c r="G22" s="6" t="s">
        <v>234</v>
      </c>
    </row>
    <row r="23" customFormat="false" ht="19.5" hidden="false" customHeight="true" outlineLevel="0" collapsed="false">
      <c r="B23" s="98" t="s">
        <v>235</v>
      </c>
      <c r="C23" s="99" t="n">
        <v>2200</v>
      </c>
      <c r="D23" s="99" t="n">
        <v>900</v>
      </c>
      <c r="E23" s="100" t="n">
        <f aca="false">Assumptions!C17*C23/100 + Assumptions!C18*D23/100</f>
        <v>710</v>
      </c>
      <c r="F23" s="101" t="s">
        <v>236</v>
      </c>
      <c r="G23" s="101" t="s">
        <v>237</v>
      </c>
    </row>
    <row r="24" customFormat="false" ht="19.5" hidden="false" customHeight="true" outlineLevel="0" collapsed="false">
      <c r="B24" s="95" t="s">
        <v>238</v>
      </c>
      <c r="C24" s="99" t="n">
        <v>1800</v>
      </c>
      <c r="D24" s="99" t="n">
        <v>750</v>
      </c>
      <c r="E24" s="100" t="n">
        <f aca="false">Assumptions!C17*C24/100 + Assumptions!C18*D24/100</f>
        <v>585</v>
      </c>
      <c r="F24" s="96" t="s">
        <v>239</v>
      </c>
      <c r="G24" s="96" t="s">
        <v>240</v>
      </c>
    </row>
    <row r="25" customFormat="false" ht="19.5" hidden="false" customHeight="true" outlineLevel="0" collapsed="false">
      <c r="B25" s="98" t="s">
        <v>241</v>
      </c>
      <c r="C25" s="99" t="n">
        <v>1500</v>
      </c>
      <c r="D25" s="99" t="n">
        <v>600</v>
      </c>
      <c r="E25" s="100" t="n">
        <f aca="false">Assumptions!C17*C25/100 + Assumptions!C18*D25/100</f>
        <v>480</v>
      </c>
      <c r="F25" s="101" t="s">
        <v>239</v>
      </c>
      <c r="G25" s="101" t="s">
        <v>242</v>
      </c>
    </row>
    <row r="26" customFormat="false" ht="19.5" hidden="false" customHeight="true" outlineLevel="0" collapsed="false">
      <c r="B26" s="95" t="s">
        <v>243</v>
      </c>
      <c r="C26" s="99" t="n">
        <v>1600</v>
      </c>
      <c r="D26" s="99" t="n">
        <v>650</v>
      </c>
      <c r="E26" s="100" t="n">
        <f aca="false">Assumptions!C17*C26/100 + Assumptions!C18*D26/100</f>
        <v>515</v>
      </c>
      <c r="F26" s="96" t="s">
        <v>239</v>
      </c>
      <c r="G26" s="96" t="s">
        <v>244</v>
      </c>
    </row>
    <row r="27" customFormat="false" ht="19.5" hidden="false" customHeight="true" outlineLevel="0" collapsed="false">
      <c r="B27" s="98" t="s">
        <v>245</v>
      </c>
      <c r="C27" s="99" t="n">
        <v>1200</v>
      </c>
      <c r="D27" s="99" t="n">
        <v>480</v>
      </c>
      <c r="E27" s="100" t="n">
        <f aca="false">Assumptions!C17*C27/100 + Assumptions!C18*D27/100</f>
        <v>384</v>
      </c>
      <c r="F27" s="101" t="s">
        <v>246</v>
      </c>
      <c r="G27" s="101" t="s">
        <v>247</v>
      </c>
    </row>
    <row r="28" customFormat="false" ht="19.5" hidden="false" customHeight="true" outlineLevel="0" collapsed="false">
      <c r="B28" s="95" t="s">
        <v>248</v>
      </c>
      <c r="C28" s="99" t="n">
        <v>900</v>
      </c>
      <c r="D28" s="99" t="n">
        <v>360</v>
      </c>
      <c r="E28" s="100" t="n">
        <f aca="false">Assumptions!C17*C28/100 + Assumptions!C18*D28/100</f>
        <v>288</v>
      </c>
      <c r="F28" s="96" t="s">
        <v>249</v>
      </c>
      <c r="G28" s="96" t="s">
        <v>250</v>
      </c>
    </row>
    <row r="29" customFormat="false" ht="19.5" hidden="false" customHeight="true" outlineLevel="0" collapsed="false">
      <c r="B29" s="98" t="s">
        <v>251</v>
      </c>
      <c r="C29" s="99" t="n">
        <v>950</v>
      </c>
      <c r="D29" s="99" t="n">
        <v>380</v>
      </c>
      <c r="E29" s="100" t="n">
        <f aca="false">Assumptions!C17*C29/100 + Assumptions!C18*D29/100</f>
        <v>304</v>
      </c>
      <c r="F29" s="101" t="s">
        <v>249</v>
      </c>
      <c r="G29" s="101" t="s">
        <v>252</v>
      </c>
    </row>
    <row r="30" customFormat="false" ht="19.5" hidden="false" customHeight="true" outlineLevel="0" collapsed="false">
      <c r="B30" s="95" t="s">
        <v>253</v>
      </c>
      <c r="C30" s="99" t="n">
        <v>1100</v>
      </c>
      <c r="D30" s="99" t="n">
        <v>440</v>
      </c>
      <c r="E30" s="100" t="n">
        <f aca="false">Assumptions!C17*C30/100 + Assumptions!C18*D30/100</f>
        <v>352</v>
      </c>
      <c r="F30" s="96" t="s">
        <v>246</v>
      </c>
      <c r="G30" s="96" t="s">
        <v>254</v>
      </c>
    </row>
    <row r="31" customFormat="false" ht="19.5" hidden="false" customHeight="true" outlineLevel="0" collapsed="false">
      <c r="B31" s="98" t="s">
        <v>255</v>
      </c>
      <c r="C31" s="99" t="n">
        <v>1300</v>
      </c>
      <c r="D31" s="99" t="n">
        <v>520</v>
      </c>
      <c r="E31" s="100" t="n">
        <f aca="false">Assumptions!C17*C31/100 + Assumptions!C18*D31/100</f>
        <v>416</v>
      </c>
      <c r="F31" s="101" t="s">
        <v>246</v>
      </c>
      <c r="G31" s="101" t="s">
        <v>240</v>
      </c>
    </row>
    <row r="32" customFormat="false" ht="19.5" hidden="false" customHeight="true" outlineLevel="0" collapsed="false">
      <c r="B32" s="95" t="s">
        <v>256</v>
      </c>
      <c r="C32" s="99" t="n">
        <v>1000</v>
      </c>
      <c r="D32" s="99" t="n">
        <v>400</v>
      </c>
      <c r="E32" s="100" t="n">
        <f aca="false">Assumptions!C17*C32/100 + Assumptions!C18*D32/100</f>
        <v>320</v>
      </c>
      <c r="F32" s="96" t="s">
        <v>246</v>
      </c>
      <c r="G32" s="96" t="s">
        <v>240</v>
      </c>
    </row>
    <row r="33" customFormat="false" ht="19.5" hidden="false" customHeight="true" outlineLevel="0" collapsed="false">
      <c r="B33" s="98" t="s">
        <v>257</v>
      </c>
      <c r="C33" s="99" t="n">
        <v>1100</v>
      </c>
      <c r="D33" s="99" t="n">
        <v>450</v>
      </c>
      <c r="E33" s="100" t="n">
        <f aca="false">Assumptions!C17*C33/100 + Assumptions!C18*D33/100</f>
        <v>355</v>
      </c>
      <c r="F33" s="101" t="s">
        <v>249</v>
      </c>
      <c r="G33" s="101" t="s">
        <v>258</v>
      </c>
    </row>
    <row r="34" customFormat="false" ht="19.5" hidden="false" customHeight="true" outlineLevel="0" collapsed="false">
      <c r="B34" s="95" t="s">
        <v>259</v>
      </c>
      <c r="C34" s="99" t="n">
        <v>1400</v>
      </c>
      <c r="D34" s="99" t="n">
        <v>560</v>
      </c>
      <c r="E34" s="100" t="n">
        <f aca="false">Assumptions!C17*C34/100 + Assumptions!C18*D34/100</f>
        <v>448</v>
      </c>
      <c r="F34" s="96" t="s">
        <v>246</v>
      </c>
      <c r="G34" s="96" t="s">
        <v>237</v>
      </c>
    </row>
    <row r="36" customFormat="false" ht="15" hidden="false" customHeight="true" outlineLevel="0" collapsed="false">
      <c r="B36" s="50" t="s">
        <v>260</v>
      </c>
      <c r="C36" s="50"/>
      <c r="D36" s="50"/>
      <c r="E36" s="50"/>
      <c r="F36" s="50"/>
      <c r="G36" s="50"/>
    </row>
    <row r="37" customFormat="false" ht="27.75" hidden="false" customHeight="true" outlineLevel="0" collapsed="false">
      <c r="B37" s="6" t="s">
        <v>261</v>
      </c>
      <c r="C37" s="6" t="s">
        <v>262</v>
      </c>
      <c r="D37" s="102" t="s">
        <v>263</v>
      </c>
      <c r="E37" s="103" t="s">
        <v>264</v>
      </c>
      <c r="F37" s="104" t="s">
        <v>265</v>
      </c>
      <c r="G37" s="105" t="s">
        <v>266</v>
      </c>
    </row>
    <row r="38" customFormat="false" ht="69.75" hidden="false" customHeight="true" outlineLevel="0" collapsed="false">
      <c r="B38" s="106" t="s">
        <v>267</v>
      </c>
      <c r="C38" s="107" t="n">
        <v>0.7</v>
      </c>
      <c r="D38" s="108" t="s">
        <v>268</v>
      </c>
      <c r="E38" s="109" t="s">
        <v>269</v>
      </c>
      <c r="F38" s="110" t="s">
        <v>270</v>
      </c>
      <c r="G38" s="111" t="s">
        <v>271</v>
      </c>
    </row>
    <row r="39" customFormat="false" ht="69.75" hidden="false" customHeight="true" outlineLevel="0" collapsed="false">
      <c r="B39" s="112" t="s">
        <v>272</v>
      </c>
      <c r="C39" s="113" t="n">
        <v>1</v>
      </c>
      <c r="D39" s="114" t="s">
        <v>273</v>
      </c>
      <c r="E39" s="60" t="s">
        <v>274</v>
      </c>
      <c r="F39" s="115" t="s">
        <v>275</v>
      </c>
      <c r="G39" s="116" t="s">
        <v>276</v>
      </c>
    </row>
    <row r="40" customFormat="false" ht="69.75" hidden="false" customHeight="true" outlineLevel="0" collapsed="false">
      <c r="B40" s="117" t="s">
        <v>277</v>
      </c>
      <c r="C40" s="118" t="n">
        <v>1.4</v>
      </c>
      <c r="D40" s="119" t="s">
        <v>278</v>
      </c>
      <c r="E40" s="120" t="s">
        <v>279</v>
      </c>
      <c r="F40" s="121" t="s">
        <v>280</v>
      </c>
      <c r="G40" s="122" t="s">
        <v>281</v>
      </c>
    </row>
    <row r="41" customFormat="false" ht="69.75" hidden="false" customHeight="true" outlineLevel="0" collapsed="false">
      <c r="B41" s="123" t="s">
        <v>282</v>
      </c>
      <c r="C41" s="124" t="n">
        <v>1.9</v>
      </c>
      <c r="D41" s="125" t="s">
        <v>283</v>
      </c>
      <c r="E41" s="126" t="s">
        <v>284</v>
      </c>
      <c r="F41" s="127" t="s">
        <v>285</v>
      </c>
      <c r="G41" s="128" t="s">
        <v>286</v>
      </c>
    </row>
    <row r="43" customFormat="false" ht="15" hidden="false" customHeight="true" outlineLevel="0" collapsed="false">
      <c r="B43" s="50" t="s">
        <v>287</v>
      </c>
      <c r="C43" s="50"/>
      <c r="D43" s="50"/>
      <c r="E43" s="50"/>
      <c r="F43" s="50"/>
      <c r="G43" s="50"/>
    </row>
    <row r="44" customFormat="false" ht="15" hidden="false" customHeight="true" outlineLevel="0" collapsed="false">
      <c r="B44" s="6" t="s">
        <v>288</v>
      </c>
      <c r="C44" s="6" t="s">
        <v>289</v>
      </c>
      <c r="D44" s="6" t="s">
        <v>290</v>
      </c>
      <c r="E44" s="6" t="s">
        <v>291</v>
      </c>
      <c r="F44" s="6"/>
      <c r="G44" s="6"/>
    </row>
    <row r="45" customFormat="false" ht="21.75" hidden="false" customHeight="true" outlineLevel="0" collapsed="false">
      <c r="B45" s="129" t="s">
        <v>292</v>
      </c>
      <c r="C45" s="130" t="n">
        <v>0.05</v>
      </c>
      <c r="D45" s="131" t="s">
        <v>293</v>
      </c>
      <c r="E45" s="132" t="s">
        <v>294</v>
      </c>
      <c r="F45" s="132"/>
      <c r="G45" s="132"/>
    </row>
    <row r="46" customFormat="false" ht="21.75" hidden="false" customHeight="true" outlineLevel="0" collapsed="false">
      <c r="B46" s="133" t="s">
        <v>295</v>
      </c>
      <c r="C46" s="130" t="n">
        <v>0.12</v>
      </c>
      <c r="D46" s="134" t="s">
        <v>296</v>
      </c>
      <c r="E46" s="135" t="s">
        <v>297</v>
      </c>
      <c r="F46" s="135"/>
      <c r="G46" s="135"/>
    </row>
    <row r="47" customFormat="false" ht="21.75" hidden="false" customHeight="true" outlineLevel="0" collapsed="false">
      <c r="B47" s="129" t="s">
        <v>298</v>
      </c>
      <c r="C47" s="130" t="n">
        <v>0.18</v>
      </c>
      <c r="D47" s="131" t="s">
        <v>299</v>
      </c>
      <c r="E47" s="132" t="s">
        <v>300</v>
      </c>
      <c r="F47" s="132"/>
      <c r="G47" s="132"/>
    </row>
    <row r="48" customFormat="false" ht="21.75" hidden="false" customHeight="true" outlineLevel="0" collapsed="false">
      <c r="B48" s="133" t="s">
        <v>301</v>
      </c>
      <c r="C48" s="130" t="n">
        <v>0.28</v>
      </c>
      <c r="D48" s="134" t="s">
        <v>302</v>
      </c>
      <c r="E48" s="135" t="s">
        <v>303</v>
      </c>
      <c r="F48" s="135"/>
      <c r="G48" s="135"/>
    </row>
    <row r="49" customFormat="false" ht="21.75" hidden="false" customHeight="true" outlineLevel="0" collapsed="false">
      <c r="B49" s="129" t="s">
        <v>304</v>
      </c>
      <c r="C49" s="130" t="n">
        <v>0.17</v>
      </c>
      <c r="D49" s="131" t="s">
        <v>305</v>
      </c>
      <c r="E49" s="132" t="s">
        <v>306</v>
      </c>
      <c r="F49" s="132"/>
      <c r="G49" s="132"/>
    </row>
    <row r="50" customFormat="false" ht="21.75" hidden="false" customHeight="true" outlineLevel="0" collapsed="false">
      <c r="B50" s="133" t="s">
        <v>307</v>
      </c>
      <c r="C50" s="130" t="n">
        <v>0.08</v>
      </c>
      <c r="D50" s="134" t="s">
        <v>305</v>
      </c>
      <c r="E50" s="135" t="s">
        <v>308</v>
      </c>
      <c r="F50" s="135"/>
      <c r="G50" s="135"/>
    </row>
    <row r="51" customFormat="false" ht="21.75" hidden="false" customHeight="true" outlineLevel="0" collapsed="false">
      <c r="B51" s="129" t="s">
        <v>309</v>
      </c>
      <c r="C51" s="130" t="n">
        <v>0.06</v>
      </c>
      <c r="D51" s="131" t="s">
        <v>305</v>
      </c>
      <c r="E51" s="132" t="s">
        <v>310</v>
      </c>
      <c r="F51" s="132"/>
      <c r="G51" s="132"/>
    </row>
    <row r="52" customFormat="false" ht="21.75" hidden="false" customHeight="true" outlineLevel="0" collapsed="false">
      <c r="B52" s="133" t="s">
        <v>311</v>
      </c>
      <c r="C52" s="130" t="n">
        <v>0.03</v>
      </c>
      <c r="D52" s="134" t="s">
        <v>312</v>
      </c>
      <c r="E52" s="135" t="s">
        <v>313</v>
      </c>
      <c r="F52" s="135"/>
      <c r="G52" s="135"/>
    </row>
    <row r="53" customFormat="false" ht="21.75" hidden="false" customHeight="true" outlineLevel="0" collapsed="false">
      <c r="B53" s="129" t="s">
        <v>314</v>
      </c>
      <c r="C53" s="130" t="n">
        <v>0.03</v>
      </c>
      <c r="D53" s="131" t="s">
        <v>312</v>
      </c>
      <c r="E53" s="132" t="s">
        <v>315</v>
      </c>
      <c r="F53" s="132"/>
      <c r="G53" s="132"/>
    </row>
  </sheetData>
  <mergeCells count="14">
    <mergeCell ref="B1:G1"/>
    <mergeCell ref="B3:G3"/>
    <mergeCell ref="B21:G21"/>
    <mergeCell ref="B36:G36"/>
    <mergeCell ref="B43:G43"/>
    <mergeCell ref="E45:G45"/>
    <mergeCell ref="E46:G46"/>
    <mergeCell ref="E47:G47"/>
    <mergeCell ref="E48:G48"/>
    <mergeCell ref="E49:G49"/>
    <mergeCell ref="E50:G50"/>
    <mergeCell ref="E51:G51"/>
    <mergeCell ref="E52:G52"/>
    <mergeCell ref="E53:G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P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30"/>
    <col collapsed="false" customWidth="true" hidden="false" outlineLevel="0" max="4" min="4" style="1" width="15"/>
    <col collapsed="false" customWidth="true" hidden="false" outlineLevel="0" max="9" min="5" style="1" width="12"/>
    <col collapsed="false" customWidth="true" hidden="false" outlineLevel="0" max="12" min="10" style="1" width="14"/>
    <col collapsed="false" customWidth="true" hidden="false" outlineLevel="0" max="14" min="13" style="1" width="18"/>
    <col collapsed="false" customWidth="true" hidden="false" outlineLevel="0" max="15" min="15" style="1" width="22"/>
  </cols>
  <sheetData>
    <row r="1" customFormat="false" ht="36" hidden="false" customHeight="true" outlineLevel="0" collapsed="false">
      <c r="B1" s="91" t="s">
        <v>316</v>
      </c>
      <c r="C1" s="91"/>
      <c r="D1" s="91"/>
      <c r="E1" s="91"/>
      <c r="F1" s="91"/>
      <c r="G1" s="91"/>
      <c r="H1" s="91"/>
      <c r="I1" s="91"/>
      <c r="J1" s="91"/>
      <c r="K1" s="91"/>
      <c r="L1" s="91"/>
      <c r="M1" s="91"/>
      <c r="N1" s="91"/>
      <c r="O1" s="91"/>
    </row>
    <row r="2" customFormat="false" ht="18" hidden="false" customHeight="true" outlineLevel="0" collapsed="false">
      <c r="B2" s="90" t="s">
        <v>317</v>
      </c>
      <c r="C2" s="90"/>
      <c r="D2" s="90"/>
      <c r="E2" s="90"/>
      <c r="F2" s="90"/>
      <c r="G2" s="90"/>
      <c r="H2" s="90"/>
      <c r="I2" s="90"/>
      <c r="J2" s="90"/>
      <c r="K2" s="90"/>
      <c r="L2" s="90"/>
      <c r="M2" s="90"/>
      <c r="N2" s="90"/>
      <c r="O2" s="90"/>
    </row>
    <row r="4" customFormat="false" ht="42" hidden="false" customHeight="true" outlineLevel="0" collapsed="false">
      <c r="B4" s="102" t="s">
        <v>318</v>
      </c>
      <c r="C4" s="102" t="s">
        <v>319</v>
      </c>
      <c r="D4" s="102" t="s">
        <v>320</v>
      </c>
      <c r="E4" s="102" t="s">
        <v>321</v>
      </c>
      <c r="F4" s="102" t="s">
        <v>322</v>
      </c>
      <c r="G4" s="102" t="s">
        <v>323</v>
      </c>
      <c r="H4" s="102" t="s">
        <v>324</v>
      </c>
      <c r="I4" s="102" t="s">
        <v>325</v>
      </c>
      <c r="J4" s="102" t="s">
        <v>326</v>
      </c>
      <c r="K4" s="102" t="s">
        <v>327</v>
      </c>
      <c r="L4" s="102" t="s">
        <v>328</v>
      </c>
      <c r="M4" s="102" t="s">
        <v>329</v>
      </c>
      <c r="N4" s="102" t="s">
        <v>330</v>
      </c>
      <c r="O4" s="102" t="s">
        <v>331</v>
      </c>
      <c r="P4" s="102" t="s">
        <v>332</v>
      </c>
    </row>
    <row r="6" customFormat="false" ht="24" hidden="false" customHeight="true" outlineLevel="0" collapsed="false">
      <c r="B6" s="136" t="s">
        <v>333</v>
      </c>
      <c r="C6" s="136"/>
      <c r="D6" s="136"/>
      <c r="E6" s="136"/>
      <c r="F6" s="136"/>
      <c r="G6" s="136"/>
      <c r="H6" s="136"/>
      <c r="I6" s="136"/>
      <c r="J6" s="136"/>
      <c r="K6" s="136"/>
      <c r="L6" s="136"/>
      <c r="M6" s="136"/>
      <c r="N6" s="136"/>
      <c r="O6" s="136"/>
      <c r="P6" s="136"/>
    </row>
    <row r="7" customFormat="false" ht="18" hidden="false" customHeight="true" outlineLevel="0" collapsed="false">
      <c r="B7" s="137" t="s">
        <v>334</v>
      </c>
      <c r="C7" s="137"/>
      <c r="D7" s="137"/>
      <c r="E7" s="137"/>
      <c r="F7" s="137"/>
      <c r="G7" s="137"/>
      <c r="H7" s="137"/>
      <c r="I7" s="137"/>
      <c r="J7" s="137"/>
      <c r="K7" s="137"/>
      <c r="L7" s="137"/>
      <c r="M7" s="137"/>
      <c r="N7" s="137"/>
      <c r="O7" s="137"/>
      <c r="P7" s="137"/>
    </row>
    <row r="8" customFormat="false" ht="27.75" hidden="false" customHeight="true" outlineLevel="0" collapsed="false">
      <c r="B8" s="102" t="s">
        <v>335</v>
      </c>
      <c r="C8" s="102"/>
      <c r="D8" s="102"/>
      <c r="E8" s="102" t="s">
        <v>263</v>
      </c>
      <c r="F8" s="102"/>
      <c r="G8" s="102"/>
      <c r="H8" s="102"/>
      <c r="I8" s="102"/>
      <c r="J8" s="102"/>
      <c r="K8" s="102"/>
      <c r="L8" s="102"/>
      <c r="M8" s="102"/>
      <c r="N8" s="102"/>
      <c r="P8" s="102" t="s">
        <v>336</v>
      </c>
    </row>
    <row r="9" customFormat="false" ht="63.75" hidden="false" customHeight="true" outlineLevel="0" collapsed="false">
      <c r="B9" s="138" t="s">
        <v>337</v>
      </c>
      <c r="C9" s="138"/>
      <c r="D9" s="138"/>
      <c r="E9" s="108" t="s">
        <v>338</v>
      </c>
      <c r="F9" s="108"/>
      <c r="G9" s="108"/>
      <c r="H9" s="108"/>
      <c r="I9" s="108"/>
      <c r="J9" s="108"/>
      <c r="K9" s="108"/>
      <c r="L9" s="108"/>
      <c r="M9" s="108"/>
      <c r="N9" s="108"/>
      <c r="P9" s="139" t="s">
        <v>339</v>
      </c>
    </row>
    <row r="10" customFormat="false" ht="63.75" hidden="false" customHeight="true" outlineLevel="0" collapsed="false">
      <c r="B10" s="140" t="s">
        <v>340</v>
      </c>
      <c r="C10" s="140"/>
      <c r="D10" s="140"/>
      <c r="E10" s="114" t="s">
        <v>341</v>
      </c>
      <c r="F10" s="114"/>
      <c r="G10" s="114"/>
      <c r="H10" s="114"/>
      <c r="I10" s="114"/>
      <c r="J10" s="114"/>
      <c r="K10" s="114"/>
      <c r="L10" s="114"/>
      <c r="M10" s="114"/>
      <c r="N10" s="114"/>
      <c r="P10" s="60" t="s">
        <v>342</v>
      </c>
    </row>
    <row r="11" customFormat="false" ht="63.75" hidden="false" customHeight="true" outlineLevel="0" collapsed="false">
      <c r="B11" s="141" t="s">
        <v>343</v>
      </c>
      <c r="C11" s="141"/>
      <c r="D11" s="141"/>
      <c r="E11" s="119" t="s">
        <v>344</v>
      </c>
      <c r="F11" s="119"/>
      <c r="G11" s="119"/>
      <c r="H11" s="119"/>
      <c r="I11" s="119"/>
      <c r="J11" s="119"/>
      <c r="K11" s="119"/>
      <c r="L11" s="119"/>
      <c r="M11" s="119"/>
      <c r="N11" s="119"/>
      <c r="P11" s="142" t="s">
        <v>345</v>
      </c>
    </row>
    <row r="12" customFormat="false" ht="63.75" hidden="false" customHeight="true" outlineLevel="0" collapsed="false">
      <c r="B12" s="143" t="s">
        <v>346</v>
      </c>
      <c r="C12" s="143"/>
      <c r="D12" s="143"/>
      <c r="E12" s="125" t="s">
        <v>347</v>
      </c>
      <c r="F12" s="125"/>
      <c r="G12" s="125"/>
      <c r="H12" s="125"/>
      <c r="I12" s="125"/>
      <c r="J12" s="125"/>
      <c r="K12" s="125"/>
      <c r="L12" s="125"/>
      <c r="M12" s="125"/>
      <c r="N12" s="125"/>
      <c r="P12" s="144" t="s">
        <v>348</v>
      </c>
    </row>
    <row r="13" customFormat="false" ht="6" hidden="false" customHeight="true" outlineLevel="0" collapsed="false">
      <c r="B13" s="145"/>
      <c r="C13" s="145"/>
      <c r="D13" s="145"/>
      <c r="E13" s="145"/>
      <c r="F13" s="145"/>
      <c r="G13" s="145"/>
      <c r="H13" s="145"/>
      <c r="I13" s="145"/>
      <c r="J13" s="145"/>
      <c r="K13" s="145"/>
      <c r="L13" s="145"/>
      <c r="M13" s="145"/>
      <c r="N13" s="145"/>
      <c r="O13" s="145"/>
      <c r="P13" s="145"/>
    </row>
    <row r="14" customFormat="false" ht="19.5" hidden="false" customHeight="true" outlineLevel="0" collapsed="false">
      <c r="B14" s="75" t="s">
        <v>349</v>
      </c>
      <c r="C14" s="53" t="s">
        <v>350</v>
      </c>
      <c r="D14" s="146" t="s">
        <v>351</v>
      </c>
      <c r="E14" s="54" t="n">
        <v>3</v>
      </c>
      <c r="F14" s="147" t="n">
        <v>12</v>
      </c>
      <c r="G14" s="148" t="s">
        <v>352</v>
      </c>
      <c r="H14" s="149" t="n">
        <v>0.15</v>
      </c>
      <c r="I14" s="149" t="n">
        <v>0.2</v>
      </c>
      <c r="J14" s="149" t="n">
        <v>0.45</v>
      </c>
      <c r="K14" s="149" t="n">
        <v>0.15</v>
      </c>
      <c r="L14" s="149" t="n">
        <v>0.05</v>
      </c>
      <c r="M14" s="150" t="n">
        <f aca="false">IF(D14="L",Assumptions!C38,IF(D14="M",Assumptions!C39,IF(D14="H",Assumptions!C40,IF(D14="VH",Assumptions!C41,1))))</f>
        <v>1</v>
      </c>
      <c r="N14" s="151" t="n">
        <f aca="false">E14*F14</f>
        <v>36</v>
      </c>
      <c r="O14" s="152" t="n">
        <f aca="false">N14*M14</f>
        <v>36</v>
      </c>
      <c r="P14" s="153" t="s">
        <v>353</v>
      </c>
    </row>
    <row r="15" customFormat="false" ht="19.5" hidden="false" customHeight="true" outlineLevel="0" collapsed="false">
      <c r="B15" s="76" t="s">
        <v>349</v>
      </c>
      <c r="C15" s="56" t="s">
        <v>354</v>
      </c>
      <c r="D15" s="146" t="s">
        <v>351</v>
      </c>
      <c r="E15" s="54" t="n">
        <v>1</v>
      </c>
      <c r="F15" s="147" t="n">
        <v>8</v>
      </c>
      <c r="G15" s="154" t="s">
        <v>352</v>
      </c>
      <c r="H15" s="155" t="n">
        <v>0.15</v>
      </c>
      <c r="I15" s="155" t="n">
        <v>0.2</v>
      </c>
      <c r="J15" s="155" t="n">
        <v>0.45</v>
      </c>
      <c r="K15" s="155" t="n">
        <v>0.15</v>
      </c>
      <c r="L15" s="155" t="n">
        <v>0.05</v>
      </c>
      <c r="M15" s="150" t="n">
        <f aca="false">IF(D15="L",Assumptions!C38,IF(D15="M",Assumptions!C39,IF(D15="H",Assumptions!C40,IF(D15="VH",Assumptions!C41,1))))</f>
        <v>1</v>
      </c>
      <c r="N15" s="151" t="n">
        <f aca="false">E15*F15</f>
        <v>8</v>
      </c>
      <c r="O15" s="152" t="n">
        <f aca="false">N15*M15</f>
        <v>8</v>
      </c>
      <c r="P15" s="156" t="s">
        <v>353</v>
      </c>
    </row>
    <row r="16" customFormat="false" ht="19.5" hidden="false" customHeight="true" outlineLevel="0" collapsed="false">
      <c r="B16" s="75" t="s">
        <v>349</v>
      </c>
      <c r="C16" s="53" t="s">
        <v>355</v>
      </c>
      <c r="D16" s="146" t="s">
        <v>351</v>
      </c>
      <c r="E16" s="54" t="n">
        <v>1</v>
      </c>
      <c r="F16" s="147" t="n">
        <v>10</v>
      </c>
      <c r="G16" s="148" t="s">
        <v>356</v>
      </c>
      <c r="H16" s="149" t="n">
        <v>0.1</v>
      </c>
      <c r="I16" s="149" t="n">
        <v>0.2</v>
      </c>
      <c r="J16" s="149" t="n">
        <v>0.5</v>
      </c>
      <c r="K16" s="149" t="n">
        <v>0.15</v>
      </c>
      <c r="L16" s="149" t="n">
        <v>0.05</v>
      </c>
      <c r="M16" s="150" t="n">
        <f aca="false">IF(D16="L",Assumptions!C38,IF(D16="M",Assumptions!C39,IF(D16="H",Assumptions!C40,IF(D16="VH",Assumptions!C41,1))))</f>
        <v>1</v>
      </c>
      <c r="N16" s="151" t="n">
        <f aca="false">E16*F16</f>
        <v>10</v>
      </c>
      <c r="O16" s="152" t="n">
        <f aca="false">N16*M16</f>
        <v>10</v>
      </c>
      <c r="P16" s="153" t="s">
        <v>357</v>
      </c>
    </row>
    <row r="17" customFormat="false" ht="19.5" hidden="false" customHeight="true" outlineLevel="0" collapsed="false">
      <c r="B17" s="76" t="s">
        <v>349</v>
      </c>
      <c r="C17" s="56" t="s">
        <v>66</v>
      </c>
      <c r="D17" s="146" t="s">
        <v>351</v>
      </c>
      <c r="E17" s="54" t="n">
        <v>1</v>
      </c>
      <c r="F17" s="147" t="n">
        <v>8</v>
      </c>
      <c r="G17" s="154" t="s">
        <v>358</v>
      </c>
      <c r="H17" s="155" t="n">
        <v>0.1</v>
      </c>
      <c r="I17" s="155" t="n">
        <v>0.2</v>
      </c>
      <c r="J17" s="155" t="n">
        <v>0.5</v>
      </c>
      <c r="K17" s="155" t="n">
        <v>0.15</v>
      </c>
      <c r="L17" s="155" t="n">
        <v>0.05</v>
      </c>
      <c r="M17" s="150" t="n">
        <f aca="false">IF(D17="L",Assumptions!C38,IF(D17="M",Assumptions!C39,IF(D17="H",Assumptions!C40,IF(D17="VH",Assumptions!C41,1))))</f>
        <v>1</v>
      </c>
      <c r="N17" s="151" t="n">
        <f aca="false">E17*F17</f>
        <v>8</v>
      </c>
      <c r="O17" s="152" t="n">
        <f aca="false">N17*M17</f>
        <v>8</v>
      </c>
      <c r="P17" s="156" t="s">
        <v>353</v>
      </c>
    </row>
    <row r="18" customFormat="false" ht="19.5" hidden="false" customHeight="true" outlineLevel="0" collapsed="false">
      <c r="B18" s="75" t="s">
        <v>349</v>
      </c>
      <c r="C18" s="53" t="s">
        <v>359</v>
      </c>
      <c r="D18" s="157" t="s">
        <v>360</v>
      </c>
      <c r="E18" s="54" t="n">
        <v>1</v>
      </c>
      <c r="F18" s="147" t="n">
        <v>5</v>
      </c>
      <c r="G18" s="148" t="s">
        <v>352</v>
      </c>
      <c r="H18" s="149" t="n">
        <v>0.1</v>
      </c>
      <c r="I18" s="149" t="n">
        <v>0.15</v>
      </c>
      <c r="J18" s="149" t="n">
        <v>0.55</v>
      </c>
      <c r="K18" s="149" t="n">
        <v>0.15</v>
      </c>
      <c r="L18" s="149" t="n">
        <v>0.05</v>
      </c>
      <c r="M18" s="150" t="n">
        <f aca="false">IF(D18="L",Assumptions!C38,IF(D18="M",Assumptions!C39,IF(D18="H",Assumptions!C40,IF(D18="VH",Assumptions!C41,1))))</f>
        <v>0.7</v>
      </c>
      <c r="N18" s="151" t="n">
        <f aca="false">E18*F18</f>
        <v>5</v>
      </c>
      <c r="O18" s="152" t="n">
        <f aca="false">N18*M18</f>
        <v>3.5</v>
      </c>
      <c r="P18" s="153" t="s">
        <v>353</v>
      </c>
    </row>
    <row r="19" customFormat="false" ht="19.5" hidden="false" customHeight="true" outlineLevel="0" collapsed="false">
      <c r="B19" s="76" t="s">
        <v>361</v>
      </c>
      <c r="C19" s="56" t="s">
        <v>362</v>
      </c>
      <c r="D19" s="54" t="s">
        <v>363</v>
      </c>
      <c r="E19" s="54" t="n">
        <v>1</v>
      </c>
      <c r="F19" s="147" t="n">
        <v>20</v>
      </c>
      <c r="G19" s="154" t="s">
        <v>352</v>
      </c>
      <c r="H19" s="155" t="n">
        <v>0.1</v>
      </c>
      <c r="I19" s="155" t="n">
        <v>0.2</v>
      </c>
      <c r="J19" s="155" t="n">
        <v>0.45</v>
      </c>
      <c r="K19" s="155" t="n">
        <v>0.2</v>
      </c>
      <c r="L19" s="155" t="n">
        <v>0.05</v>
      </c>
      <c r="M19" s="150" t="n">
        <f aca="false">IF(D19="L",Assumptions!C38,IF(D19="M",Assumptions!C39,IF(D19="H",Assumptions!C40,IF(D19="VH",Assumptions!C41,1))))</f>
        <v>1.4</v>
      </c>
      <c r="N19" s="151" t="n">
        <f aca="false">E19*F19</f>
        <v>20</v>
      </c>
      <c r="O19" s="152" t="n">
        <f aca="false">N19*M19</f>
        <v>28</v>
      </c>
      <c r="P19" s="156" t="s">
        <v>357</v>
      </c>
    </row>
    <row r="20" customFormat="false" ht="19.5" hidden="false" customHeight="true" outlineLevel="0" collapsed="false">
      <c r="B20" s="75" t="s">
        <v>361</v>
      </c>
      <c r="C20" s="53" t="s">
        <v>68</v>
      </c>
      <c r="D20" s="54" t="s">
        <v>363</v>
      </c>
      <c r="E20" s="54" t="n">
        <v>1</v>
      </c>
      <c r="F20" s="147" t="n">
        <v>18</v>
      </c>
      <c r="G20" s="148" t="s">
        <v>358</v>
      </c>
      <c r="H20" s="149" t="n">
        <v>0.1</v>
      </c>
      <c r="I20" s="149" t="n">
        <v>0.15</v>
      </c>
      <c r="J20" s="149" t="n">
        <v>0.45</v>
      </c>
      <c r="K20" s="149" t="n">
        <v>0.25</v>
      </c>
      <c r="L20" s="149" t="n">
        <v>0.05</v>
      </c>
      <c r="M20" s="150" t="n">
        <f aca="false">IF(D20="L",Assumptions!C38,IF(D20="M",Assumptions!C39,IF(D20="H",Assumptions!C40,IF(D20="VH",Assumptions!C41,1))))</f>
        <v>1.4</v>
      </c>
      <c r="N20" s="151" t="n">
        <f aca="false">E20*F20</f>
        <v>18</v>
      </c>
      <c r="O20" s="152" t="n">
        <f aca="false">N20*M20</f>
        <v>25.2</v>
      </c>
      <c r="P20" s="153" t="s">
        <v>357</v>
      </c>
    </row>
    <row r="21" customFormat="false" ht="19.5" hidden="false" customHeight="true" outlineLevel="0" collapsed="false">
      <c r="B21" s="76" t="s">
        <v>361</v>
      </c>
      <c r="C21" s="56" t="s">
        <v>364</v>
      </c>
      <c r="D21" s="54" t="s">
        <v>363</v>
      </c>
      <c r="E21" s="54" t="n">
        <v>3</v>
      </c>
      <c r="F21" s="147" t="n">
        <v>15</v>
      </c>
      <c r="G21" s="154" t="s">
        <v>356</v>
      </c>
      <c r="H21" s="155" t="n">
        <v>0.1</v>
      </c>
      <c r="I21" s="155" t="n">
        <v>0.2</v>
      </c>
      <c r="J21" s="155" t="n">
        <v>0.4</v>
      </c>
      <c r="K21" s="155" t="n">
        <v>0.25</v>
      </c>
      <c r="L21" s="155" t="n">
        <v>0.05</v>
      </c>
      <c r="M21" s="150" t="n">
        <f aca="false">IF(D21="L",Assumptions!C38,IF(D21="M",Assumptions!C39,IF(D21="H",Assumptions!C40,IF(D21="VH",Assumptions!C41,1))))</f>
        <v>1.4</v>
      </c>
      <c r="N21" s="151" t="n">
        <f aca="false">E21*F21</f>
        <v>45</v>
      </c>
      <c r="O21" s="152" t="n">
        <f aca="false">N21*M21</f>
        <v>63</v>
      </c>
      <c r="P21" s="156" t="s">
        <v>251</v>
      </c>
    </row>
    <row r="22" customFormat="false" ht="19.5" hidden="false" customHeight="true" outlineLevel="0" collapsed="false">
      <c r="B22" s="75" t="s">
        <v>365</v>
      </c>
      <c r="C22" s="53" t="s">
        <v>366</v>
      </c>
      <c r="D22" s="146" t="s">
        <v>351</v>
      </c>
      <c r="E22" s="54" t="n">
        <v>1</v>
      </c>
      <c r="F22" s="147" t="n">
        <v>10</v>
      </c>
      <c r="G22" s="148" t="s">
        <v>358</v>
      </c>
      <c r="H22" s="149" t="n">
        <v>0.1</v>
      </c>
      <c r="I22" s="149" t="n">
        <v>0.2</v>
      </c>
      <c r="J22" s="149" t="n">
        <v>0.5</v>
      </c>
      <c r="K22" s="149" t="n">
        <v>0.15</v>
      </c>
      <c r="L22" s="149" t="n">
        <v>0.05</v>
      </c>
      <c r="M22" s="150" t="n">
        <f aca="false">IF(D22="L",Assumptions!C38,IF(D22="M",Assumptions!C39,IF(D22="H",Assumptions!C40,IF(D22="VH",Assumptions!C41,1))))</f>
        <v>1</v>
      </c>
      <c r="N22" s="151" t="n">
        <f aca="false">E22*F22</f>
        <v>10</v>
      </c>
      <c r="O22" s="152" t="n">
        <f aca="false">N22*M22</f>
        <v>10</v>
      </c>
      <c r="P22" s="153" t="s">
        <v>353</v>
      </c>
    </row>
    <row r="23" customFormat="false" ht="19.5" hidden="false" customHeight="true" outlineLevel="0" collapsed="false">
      <c r="B23" s="76" t="s">
        <v>365</v>
      </c>
      <c r="C23" s="56" t="s">
        <v>367</v>
      </c>
      <c r="D23" s="146" t="s">
        <v>351</v>
      </c>
      <c r="E23" s="54" t="n">
        <v>1</v>
      </c>
      <c r="F23" s="147" t="n">
        <v>8</v>
      </c>
      <c r="G23" s="154" t="s">
        <v>352</v>
      </c>
      <c r="H23" s="155" t="n">
        <v>0.1</v>
      </c>
      <c r="I23" s="155" t="n">
        <v>0.2</v>
      </c>
      <c r="J23" s="155" t="n">
        <v>0.5</v>
      </c>
      <c r="K23" s="155" t="n">
        <v>0.15</v>
      </c>
      <c r="L23" s="155" t="n">
        <v>0.05</v>
      </c>
      <c r="M23" s="150" t="n">
        <f aca="false">IF(D23="L",Assumptions!C38,IF(D23="M",Assumptions!C39,IF(D23="H",Assumptions!C40,IF(D23="VH",Assumptions!C41,1))))</f>
        <v>1</v>
      </c>
      <c r="N23" s="151" t="n">
        <f aca="false">E23*F23</f>
        <v>8</v>
      </c>
      <c r="O23" s="152" t="n">
        <f aca="false">N23*M23</f>
        <v>8</v>
      </c>
      <c r="P23" s="156" t="s">
        <v>353</v>
      </c>
    </row>
    <row r="24" customFormat="false" ht="19.5" hidden="false" customHeight="true" outlineLevel="0" collapsed="false">
      <c r="B24" s="75" t="s">
        <v>365</v>
      </c>
      <c r="C24" s="53" t="s">
        <v>368</v>
      </c>
      <c r="D24" s="146" t="s">
        <v>351</v>
      </c>
      <c r="E24" s="54" t="n">
        <v>1</v>
      </c>
      <c r="F24" s="147" t="n">
        <v>10</v>
      </c>
      <c r="G24" s="148" t="s">
        <v>358</v>
      </c>
      <c r="H24" s="149" t="n">
        <v>0.1</v>
      </c>
      <c r="I24" s="149" t="n">
        <v>0.2</v>
      </c>
      <c r="J24" s="149" t="n">
        <v>0.5</v>
      </c>
      <c r="K24" s="149" t="n">
        <v>0.15</v>
      </c>
      <c r="L24" s="149" t="n">
        <v>0.05</v>
      </c>
      <c r="M24" s="150" t="n">
        <f aca="false">IF(D24="L",Assumptions!C38,IF(D24="M",Assumptions!C39,IF(D24="H",Assumptions!C40,IF(D24="VH",Assumptions!C41,1))))</f>
        <v>1</v>
      </c>
      <c r="N24" s="151" t="n">
        <f aca="false">E24*F24</f>
        <v>10</v>
      </c>
      <c r="O24" s="152" t="n">
        <f aca="false">N24*M24</f>
        <v>10</v>
      </c>
      <c r="P24" s="153" t="s">
        <v>353</v>
      </c>
    </row>
    <row r="25" customFormat="false" ht="19.5" hidden="false" customHeight="true" outlineLevel="0" collapsed="false">
      <c r="B25" s="76" t="s">
        <v>369</v>
      </c>
      <c r="C25" s="56" t="s">
        <v>370</v>
      </c>
      <c r="D25" s="146" t="s">
        <v>351</v>
      </c>
      <c r="E25" s="54" t="n">
        <v>1</v>
      </c>
      <c r="F25" s="147" t="n">
        <v>12</v>
      </c>
      <c r="G25" s="154" t="s">
        <v>352</v>
      </c>
      <c r="H25" s="155" t="n">
        <v>0.1</v>
      </c>
      <c r="I25" s="155" t="n">
        <v>0.2</v>
      </c>
      <c r="J25" s="155" t="n">
        <v>0.5</v>
      </c>
      <c r="K25" s="155" t="n">
        <v>0.15</v>
      </c>
      <c r="L25" s="155" t="n">
        <v>0.05</v>
      </c>
      <c r="M25" s="150" t="n">
        <f aca="false">IF(D25="L",Assumptions!C38,IF(D25="M",Assumptions!C39,IF(D25="H",Assumptions!C40,IF(D25="VH",Assumptions!C41,1))))</f>
        <v>1</v>
      </c>
      <c r="N25" s="151" t="n">
        <f aca="false">E25*F25</f>
        <v>12</v>
      </c>
      <c r="O25" s="152" t="n">
        <f aca="false">N25*M25</f>
        <v>12</v>
      </c>
      <c r="P25" s="156" t="s">
        <v>353</v>
      </c>
    </row>
    <row r="26" customFormat="false" ht="19.5" hidden="false" customHeight="true" outlineLevel="0" collapsed="false">
      <c r="B26" s="75" t="s">
        <v>371</v>
      </c>
      <c r="C26" s="53" t="s">
        <v>63</v>
      </c>
      <c r="D26" s="54" t="s">
        <v>363</v>
      </c>
      <c r="E26" s="54" t="n">
        <v>1</v>
      </c>
      <c r="F26" s="147" t="n">
        <v>18</v>
      </c>
      <c r="G26" s="148" t="s">
        <v>358</v>
      </c>
      <c r="H26" s="149" t="n">
        <v>0.15</v>
      </c>
      <c r="I26" s="149" t="n">
        <v>0.2</v>
      </c>
      <c r="J26" s="149" t="n">
        <v>0.4</v>
      </c>
      <c r="K26" s="149" t="n">
        <v>0.2</v>
      </c>
      <c r="L26" s="149" t="n">
        <v>0.05</v>
      </c>
      <c r="M26" s="150" t="n">
        <f aca="false">IF(D26="L",Assumptions!C38,IF(D26="M",Assumptions!C39,IF(D26="H",Assumptions!C40,IF(D26="VH",Assumptions!C41,1))))</f>
        <v>1.4</v>
      </c>
      <c r="N26" s="151" t="n">
        <f aca="false">E26*F26</f>
        <v>18</v>
      </c>
      <c r="O26" s="152" t="n">
        <f aca="false">N26*M26</f>
        <v>25.2</v>
      </c>
      <c r="P26" s="153" t="s">
        <v>357</v>
      </c>
    </row>
    <row r="27" customFormat="false" ht="19.5" hidden="false" customHeight="true" outlineLevel="0" collapsed="false">
      <c r="B27" s="76" t="s">
        <v>371</v>
      </c>
      <c r="C27" s="56" t="s">
        <v>70</v>
      </c>
      <c r="D27" s="146" t="s">
        <v>351</v>
      </c>
      <c r="E27" s="54" t="n">
        <v>1</v>
      </c>
      <c r="F27" s="147" t="n">
        <v>12</v>
      </c>
      <c r="G27" s="154" t="s">
        <v>352</v>
      </c>
      <c r="H27" s="155" t="n">
        <v>0.1</v>
      </c>
      <c r="I27" s="155" t="n">
        <v>0.2</v>
      </c>
      <c r="J27" s="155" t="n">
        <v>0.5</v>
      </c>
      <c r="K27" s="155" t="n">
        <v>0.15</v>
      </c>
      <c r="L27" s="155" t="n">
        <v>0.05</v>
      </c>
      <c r="M27" s="150" t="n">
        <f aca="false">IF(D27="L",Assumptions!C38,IF(D27="M",Assumptions!C39,IF(D27="H",Assumptions!C40,IF(D27="VH",Assumptions!C41,1))))</f>
        <v>1</v>
      </c>
      <c r="N27" s="151" t="n">
        <f aca="false">E27*F27</f>
        <v>12</v>
      </c>
      <c r="O27" s="152" t="n">
        <f aca="false">N27*M27</f>
        <v>12</v>
      </c>
      <c r="P27" s="156" t="s">
        <v>353</v>
      </c>
    </row>
    <row r="28" customFormat="false" ht="19.5" hidden="false" customHeight="true" outlineLevel="0" collapsed="false">
      <c r="B28" s="75" t="s">
        <v>371</v>
      </c>
      <c r="C28" s="53" t="s">
        <v>372</v>
      </c>
      <c r="D28" s="146" t="s">
        <v>351</v>
      </c>
      <c r="E28" s="54" t="n">
        <v>1</v>
      </c>
      <c r="F28" s="147" t="n">
        <v>12</v>
      </c>
      <c r="G28" s="148" t="s">
        <v>352</v>
      </c>
      <c r="H28" s="149" t="n">
        <v>0.1</v>
      </c>
      <c r="I28" s="149" t="n">
        <v>0.2</v>
      </c>
      <c r="J28" s="149" t="n">
        <v>0.5</v>
      </c>
      <c r="K28" s="149" t="n">
        <v>0.15</v>
      </c>
      <c r="L28" s="149" t="n">
        <v>0.05</v>
      </c>
      <c r="M28" s="150" t="n">
        <f aca="false">IF(D28="L",Assumptions!C38,IF(D28="M",Assumptions!C39,IF(D28="H",Assumptions!C40,IF(D28="VH",Assumptions!C41,1))))</f>
        <v>1</v>
      </c>
      <c r="N28" s="151" t="n">
        <f aca="false">E28*F28</f>
        <v>12</v>
      </c>
      <c r="O28" s="152" t="n">
        <f aca="false">N28*M28</f>
        <v>12</v>
      </c>
      <c r="P28" s="153" t="s">
        <v>353</v>
      </c>
    </row>
    <row r="29" customFormat="false" ht="19.5" hidden="false" customHeight="true" outlineLevel="0" collapsed="false">
      <c r="B29" s="76" t="s">
        <v>371</v>
      </c>
      <c r="C29" s="56" t="s">
        <v>373</v>
      </c>
      <c r="D29" s="146" t="s">
        <v>351</v>
      </c>
      <c r="E29" s="54" t="n">
        <v>1</v>
      </c>
      <c r="F29" s="147" t="n">
        <v>10</v>
      </c>
      <c r="G29" s="154" t="s">
        <v>352</v>
      </c>
      <c r="H29" s="155" t="n">
        <v>0.1</v>
      </c>
      <c r="I29" s="155" t="n">
        <v>0.2</v>
      </c>
      <c r="J29" s="155" t="n">
        <v>0.5</v>
      </c>
      <c r="K29" s="155" t="n">
        <v>0.15</v>
      </c>
      <c r="L29" s="155" t="n">
        <v>0.05</v>
      </c>
      <c r="M29" s="150" t="n">
        <f aca="false">IF(D29="L",Assumptions!C38,IF(D29="M",Assumptions!C39,IF(D29="H",Assumptions!C40,IF(D29="VH",Assumptions!C41,1))))</f>
        <v>1</v>
      </c>
      <c r="N29" s="151" t="n">
        <f aca="false">E29*F29</f>
        <v>10</v>
      </c>
      <c r="O29" s="152" t="n">
        <f aca="false">N29*M29</f>
        <v>10</v>
      </c>
      <c r="P29" s="156" t="s">
        <v>353</v>
      </c>
    </row>
    <row r="30" customFormat="false" ht="19.5" hidden="false" customHeight="true" outlineLevel="0" collapsed="false">
      <c r="B30" s="75" t="s">
        <v>371</v>
      </c>
      <c r="C30" s="53" t="s">
        <v>374</v>
      </c>
      <c r="D30" s="146" t="s">
        <v>351</v>
      </c>
      <c r="E30" s="54" t="n">
        <v>1</v>
      </c>
      <c r="F30" s="147" t="n">
        <v>8</v>
      </c>
      <c r="G30" s="148" t="s">
        <v>356</v>
      </c>
      <c r="H30" s="149" t="n">
        <v>0.1</v>
      </c>
      <c r="I30" s="149" t="n">
        <v>0.2</v>
      </c>
      <c r="J30" s="149" t="n">
        <v>0.5</v>
      </c>
      <c r="K30" s="149" t="n">
        <v>0.15</v>
      </c>
      <c r="L30" s="149" t="n">
        <v>0.05</v>
      </c>
      <c r="M30" s="150" t="n">
        <f aca="false">IF(D30="L",Assumptions!C38,IF(D30="M",Assumptions!C39,IF(D30="H",Assumptions!C40,IF(D30="VH",Assumptions!C41,1))))</f>
        <v>1</v>
      </c>
      <c r="N30" s="151" t="n">
        <f aca="false">E30*F30</f>
        <v>8</v>
      </c>
      <c r="O30" s="152" t="n">
        <f aca="false">N30*M30</f>
        <v>8</v>
      </c>
      <c r="P30" s="153" t="s">
        <v>353</v>
      </c>
    </row>
    <row r="31" customFormat="false" ht="19.5" hidden="false" customHeight="true" outlineLevel="0" collapsed="false">
      <c r="B31" s="76" t="s">
        <v>371</v>
      </c>
      <c r="C31" s="56" t="s">
        <v>375</v>
      </c>
      <c r="D31" s="54" t="s">
        <v>363</v>
      </c>
      <c r="E31" s="54" t="n">
        <v>3</v>
      </c>
      <c r="F31" s="147" t="n">
        <v>20</v>
      </c>
      <c r="G31" s="154" t="s">
        <v>358</v>
      </c>
      <c r="H31" s="155" t="n">
        <v>0.1</v>
      </c>
      <c r="I31" s="155" t="n">
        <v>0.2</v>
      </c>
      <c r="J31" s="155" t="n">
        <v>0.45</v>
      </c>
      <c r="K31" s="155" t="n">
        <v>0.2</v>
      </c>
      <c r="L31" s="155" t="n">
        <v>0.05</v>
      </c>
      <c r="M31" s="150" t="n">
        <f aca="false">IF(D31="L",Assumptions!C38,IF(D31="M",Assumptions!C39,IF(D31="H",Assumptions!C40,IF(D31="VH",Assumptions!C41,1))))</f>
        <v>1.4</v>
      </c>
      <c r="N31" s="151" t="n">
        <f aca="false">E31*F31</f>
        <v>60</v>
      </c>
      <c r="O31" s="152" t="n">
        <f aca="false">N31*M31</f>
        <v>84</v>
      </c>
      <c r="P31" s="156" t="s">
        <v>357</v>
      </c>
    </row>
    <row r="32" customFormat="false" ht="19.5" hidden="false" customHeight="true" outlineLevel="0" collapsed="false">
      <c r="B32" s="75" t="s">
        <v>371</v>
      </c>
      <c r="C32" s="53" t="s">
        <v>376</v>
      </c>
      <c r="D32" s="54" t="s">
        <v>363</v>
      </c>
      <c r="E32" s="54" t="n">
        <v>3</v>
      </c>
      <c r="F32" s="147" t="n">
        <v>15</v>
      </c>
      <c r="G32" s="148" t="s">
        <v>358</v>
      </c>
      <c r="H32" s="149" t="n">
        <v>0.1</v>
      </c>
      <c r="I32" s="149" t="n">
        <v>0.2</v>
      </c>
      <c r="J32" s="149" t="n">
        <v>0.4</v>
      </c>
      <c r="K32" s="149" t="n">
        <v>0.25</v>
      </c>
      <c r="L32" s="149" t="n">
        <v>0.05</v>
      </c>
      <c r="M32" s="150" t="n">
        <f aca="false">IF(D32="L",Assumptions!C38,IF(D32="M",Assumptions!C39,IF(D32="H",Assumptions!C40,IF(D32="VH",Assumptions!C41,1))))</f>
        <v>1.4</v>
      </c>
      <c r="N32" s="151" t="n">
        <f aca="false">E32*F32</f>
        <v>45</v>
      </c>
      <c r="O32" s="152" t="n">
        <f aca="false">N32*M32</f>
        <v>63</v>
      </c>
      <c r="P32" s="153" t="s">
        <v>377</v>
      </c>
    </row>
    <row r="33" customFormat="false" ht="19.5" hidden="false" customHeight="true" outlineLevel="0" collapsed="false">
      <c r="B33" s="76" t="s">
        <v>371</v>
      </c>
      <c r="C33" s="56" t="s">
        <v>378</v>
      </c>
      <c r="D33" s="157" t="s">
        <v>360</v>
      </c>
      <c r="E33" s="54" t="n">
        <v>1</v>
      </c>
      <c r="F33" s="147" t="n">
        <v>6</v>
      </c>
      <c r="G33" s="154" t="s">
        <v>352</v>
      </c>
      <c r="H33" s="155" t="n">
        <v>0.1</v>
      </c>
      <c r="I33" s="155" t="n">
        <v>0.2</v>
      </c>
      <c r="J33" s="155" t="n">
        <v>0.5</v>
      </c>
      <c r="K33" s="155" t="n">
        <v>0.15</v>
      </c>
      <c r="L33" s="155" t="n">
        <v>0.05</v>
      </c>
      <c r="M33" s="150" t="n">
        <f aca="false">IF(D33="L",Assumptions!C38,IF(D33="M",Assumptions!C39,IF(D33="H",Assumptions!C40,IF(D33="VH",Assumptions!C41,1))))</f>
        <v>0.7</v>
      </c>
      <c r="N33" s="151" t="n">
        <f aca="false">E33*F33</f>
        <v>6</v>
      </c>
      <c r="O33" s="152" t="n">
        <f aca="false">N33*M33</f>
        <v>4.2</v>
      </c>
      <c r="P33" s="156" t="s">
        <v>353</v>
      </c>
    </row>
    <row r="34" customFormat="false" ht="19.5" hidden="false" customHeight="true" outlineLevel="0" collapsed="false">
      <c r="B34" s="75" t="s">
        <v>379</v>
      </c>
      <c r="C34" s="53" t="s">
        <v>380</v>
      </c>
      <c r="D34" s="146" t="s">
        <v>351</v>
      </c>
      <c r="E34" s="54" t="n">
        <v>1</v>
      </c>
      <c r="F34" s="147" t="n">
        <v>12</v>
      </c>
      <c r="G34" s="148" t="s">
        <v>352</v>
      </c>
      <c r="H34" s="149" t="n">
        <v>0.1</v>
      </c>
      <c r="I34" s="149" t="n">
        <v>0.2</v>
      </c>
      <c r="J34" s="149" t="n">
        <v>0.5</v>
      </c>
      <c r="K34" s="149" t="n">
        <v>0.15</v>
      </c>
      <c r="L34" s="149" t="n">
        <v>0.05</v>
      </c>
      <c r="M34" s="150" t="n">
        <f aca="false">IF(D34="L",Assumptions!C38,IF(D34="M",Assumptions!C39,IF(D34="H",Assumptions!C40,IF(D34="VH",Assumptions!C41,1))))</f>
        <v>1</v>
      </c>
      <c r="N34" s="151" t="n">
        <f aca="false">E34*F34</f>
        <v>12</v>
      </c>
      <c r="O34" s="152" t="n">
        <f aca="false">N34*M34</f>
        <v>12</v>
      </c>
      <c r="P34" s="153" t="s">
        <v>353</v>
      </c>
    </row>
    <row r="35" customFormat="false" ht="19.5" hidden="false" customHeight="true" outlineLevel="0" collapsed="false">
      <c r="B35" s="76" t="s">
        <v>379</v>
      </c>
      <c r="C35" s="56" t="s">
        <v>381</v>
      </c>
      <c r="D35" s="146" t="s">
        <v>351</v>
      </c>
      <c r="E35" s="54" t="n">
        <v>1</v>
      </c>
      <c r="F35" s="147" t="n">
        <v>10</v>
      </c>
      <c r="G35" s="154" t="s">
        <v>358</v>
      </c>
      <c r="H35" s="155" t="n">
        <v>0.1</v>
      </c>
      <c r="I35" s="155" t="n">
        <v>0.2</v>
      </c>
      <c r="J35" s="155" t="n">
        <v>0.5</v>
      </c>
      <c r="K35" s="155" t="n">
        <v>0.15</v>
      </c>
      <c r="L35" s="155" t="n">
        <v>0.05</v>
      </c>
      <c r="M35" s="150" t="n">
        <f aca="false">IF(D35="L",Assumptions!C38,IF(D35="M",Assumptions!C39,IF(D35="H",Assumptions!C40,IF(D35="VH",Assumptions!C41,1))))</f>
        <v>1</v>
      </c>
      <c r="N35" s="151" t="n">
        <f aca="false">E35*F35</f>
        <v>10</v>
      </c>
      <c r="O35" s="152" t="n">
        <f aca="false">N35*M35</f>
        <v>10</v>
      </c>
      <c r="P35" s="156" t="s">
        <v>353</v>
      </c>
    </row>
    <row r="36" customFormat="false" ht="19.5" hidden="false" customHeight="true" outlineLevel="0" collapsed="false">
      <c r="B36" s="75" t="s">
        <v>379</v>
      </c>
      <c r="C36" s="53" t="s">
        <v>382</v>
      </c>
      <c r="D36" s="146" t="s">
        <v>351</v>
      </c>
      <c r="E36" s="54" t="n">
        <v>1</v>
      </c>
      <c r="F36" s="147" t="n">
        <v>8</v>
      </c>
      <c r="G36" s="148" t="s">
        <v>352</v>
      </c>
      <c r="H36" s="149" t="n">
        <v>0.1</v>
      </c>
      <c r="I36" s="149" t="n">
        <v>0.2</v>
      </c>
      <c r="J36" s="149" t="n">
        <v>0.5</v>
      </c>
      <c r="K36" s="149" t="n">
        <v>0.15</v>
      </c>
      <c r="L36" s="149" t="n">
        <v>0.05</v>
      </c>
      <c r="M36" s="150" t="n">
        <f aca="false">IF(D36="L",Assumptions!C38,IF(D36="M",Assumptions!C39,IF(D36="H",Assumptions!C40,IF(D36="VH",Assumptions!C41,1))))</f>
        <v>1</v>
      </c>
      <c r="N36" s="151" t="n">
        <f aca="false">E36*F36</f>
        <v>8</v>
      </c>
      <c r="O36" s="152" t="n">
        <f aca="false">N36*M36</f>
        <v>8</v>
      </c>
      <c r="P36" s="153" t="s">
        <v>353</v>
      </c>
    </row>
    <row r="37" customFormat="false" ht="19.5" hidden="false" customHeight="true" outlineLevel="0" collapsed="false">
      <c r="B37" s="76" t="s">
        <v>383</v>
      </c>
      <c r="C37" s="56" t="s">
        <v>384</v>
      </c>
      <c r="D37" s="146" t="s">
        <v>351</v>
      </c>
      <c r="E37" s="54" t="n">
        <v>1</v>
      </c>
      <c r="F37" s="147" t="n">
        <v>12</v>
      </c>
      <c r="G37" s="154" t="s">
        <v>352</v>
      </c>
      <c r="H37" s="155" t="n">
        <v>0.1</v>
      </c>
      <c r="I37" s="155" t="n">
        <v>0.2</v>
      </c>
      <c r="J37" s="155" t="n">
        <v>0.5</v>
      </c>
      <c r="K37" s="155" t="n">
        <v>0.15</v>
      </c>
      <c r="L37" s="155" t="n">
        <v>0.05</v>
      </c>
      <c r="M37" s="150" t="n">
        <f aca="false">IF(D37="L",Assumptions!C38,IF(D37="M",Assumptions!C39,IF(D37="H",Assumptions!C40,IF(D37="VH",Assumptions!C41,1))))</f>
        <v>1</v>
      </c>
      <c r="N37" s="151" t="n">
        <f aca="false">E37*F37</f>
        <v>12</v>
      </c>
      <c r="O37" s="152" t="n">
        <f aca="false">N37*M37</f>
        <v>12</v>
      </c>
      <c r="P37" s="156" t="s">
        <v>357</v>
      </c>
    </row>
    <row r="38" customFormat="false" ht="19.5" hidden="false" customHeight="true" outlineLevel="0" collapsed="false">
      <c r="B38" s="75" t="s">
        <v>383</v>
      </c>
      <c r="C38" s="53" t="s">
        <v>385</v>
      </c>
      <c r="D38" s="54" t="s">
        <v>363</v>
      </c>
      <c r="E38" s="54" t="n">
        <v>1</v>
      </c>
      <c r="F38" s="147" t="n">
        <v>18</v>
      </c>
      <c r="G38" s="148" t="s">
        <v>358</v>
      </c>
      <c r="H38" s="149" t="n">
        <v>0.1</v>
      </c>
      <c r="I38" s="149" t="n">
        <v>0.2</v>
      </c>
      <c r="J38" s="149" t="n">
        <v>0.45</v>
      </c>
      <c r="K38" s="149" t="n">
        <v>0.2</v>
      </c>
      <c r="L38" s="149" t="n">
        <v>0.05</v>
      </c>
      <c r="M38" s="150" t="n">
        <f aca="false">IF(D38="L",Assumptions!C38,IF(D38="M",Assumptions!C39,IF(D38="H",Assumptions!C40,IF(D38="VH",Assumptions!C41,1))))</f>
        <v>1.4</v>
      </c>
      <c r="N38" s="151" t="n">
        <f aca="false">E38*F38</f>
        <v>18</v>
      </c>
      <c r="O38" s="152" t="n">
        <f aca="false">N38*M38</f>
        <v>25.2</v>
      </c>
      <c r="P38" s="153" t="s">
        <v>357</v>
      </c>
    </row>
    <row r="39" customFormat="false" ht="19.5" hidden="false" customHeight="true" outlineLevel="0" collapsed="false">
      <c r="B39" s="76" t="s">
        <v>383</v>
      </c>
      <c r="C39" s="56" t="s">
        <v>386</v>
      </c>
      <c r="D39" s="54" t="s">
        <v>363</v>
      </c>
      <c r="E39" s="54" t="n">
        <v>1</v>
      </c>
      <c r="F39" s="147" t="n">
        <v>22</v>
      </c>
      <c r="G39" s="154" t="s">
        <v>356</v>
      </c>
      <c r="H39" s="155" t="n">
        <v>0.1</v>
      </c>
      <c r="I39" s="155" t="n">
        <v>0.2</v>
      </c>
      <c r="J39" s="155" t="n">
        <v>0.45</v>
      </c>
      <c r="K39" s="155" t="n">
        <v>0.2</v>
      </c>
      <c r="L39" s="155" t="n">
        <v>0.05</v>
      </c>
      <c r="M39" s="150" t="n">
        <f aca="false">IF(D39="L",Assumptions!C38,IF(D39="M",Assumptions!C39,IF(D39="H",Assumptions!C40,IF(D39="VH",Assumptions!C41,1))))</f>
        <v>1.4</v>
      </c>
      <c r="N39" s="151" t="n">
        <f aca="false">E39*F39</f>
        <v>22</v>
      </c>
      <c r="O39" s="152" t="n">
        <f aca="false">N39*M39</f>
        <v>30.8</v>
      </c>
      <c r="P39" s="156" t="s">
        <v>357</v>
      </c>
    </row>
    <row r="40" customFormat="false" ht="19.5" hidden="false" customHeight="true" outlineLevel="0" collapsed="false">
      <c r="B40" s="75" t="s">
        <v>383</v>
      </c>
      <c r="C40" s="53" t="s">
        <v>387</v>
      </c>
      <c r="D40" s="54" t="s">
        <v>363</v>
      </c>
      <c r="E40" s="54" t="n">
        <v>1</v>
      </c>
      <c r="F40" s="147" t="n">
        <v>25</v>
      </c>
      <c r="G40" s="148" t="s">
        <v>352</v>
      </c>
      <c r="H40" s="149" t="n">
        <v>0.1</v>
      </c>
      <c r="I40" s="149" t="n">
        <v>0.2</v>
      </c>
      <c r="J40" s="149" t="n">
        <v>0.45</v>
      </c>
      <c r="K40" s="149" t="n">
        <v>0.2</v>
      </c>
      <c r="L40" s="149" t="n">
        <v>0.05</v>
      </c>
      <c r="M40" s="150" t="n">
        <f aca="false">IF(D40="L",Assumptions!C38,IF(D40="M",Assumptions!C39,IF(D40="H",Assumptions!C40,IF(D40="VH",Assumptions!C41,1))))</f>
        <v>1.4</v>
      </c>
      <c r="N40" s="151" t="n">
        <f aca="false">E40*F40</f>
        <v>25</v>
      </c>
      <c r="O40" s="152" t="n">
        <f aca="false">N40*M40</f>
        <v>35</v>
      </c>
      <c r="P40" s="153" t="s">
        <v>357</v>
      </c>
    </row>
    <row r="41" customFormat="false" ht="19.5" hidden="false" customHeight="true" outlineLevel="0" collapsed="false">
      <c r="B41" s="76" t="s">
        <v>383</v>
      </c>
      <c r="C41" s="56" t="s">
        <v>388</v>
      </c>
      <c r="D41" s="146" t="s">
        <v>351</v>
      </c>
      <c r="E41" s="54" t="n">
        <v>1</v>
      </c>
      <c r="F41" s="147" t="n">
        <v>10</v>
      </c>
      <c r="G41" s="154" t="s">
        <v>352</v>
      </c>
      <c r="H41" s="155" t="n">
        <v>0.1</v>
      </c>
      <c r="I41" s="155" t="n">
        <v>0.2</v>
      </c>
      <c r="J41" s="155" t="n">
        <v>0.5</v>
      </c>
      <c r="K41" s="155" t="n">
        <v>0.15</v>
      </c>
      <c r="L41" s="155" t="n">
        <v>0.05</v>
      </c>
      <c r="M41" s="150" t="n">
        <f aca="false">IF(D41="L",Assumptions!C38,IF(D41="M",Assumptions!C39,IF(D41="H",Assumptions!C40,IF(D41="VH",Assumptions!C41,1))))</f>
        <v>1</v>
      </c>
      <c r="N41" s="151" t="n">
        <f aca="false">E41*F41</f>
        <v>10</v>
      </c>
      <c r="O41" s="152" t="n">
        <f aca="false">N41*M41</f>
        <v>10</v>
      </c>
      <c r="P41" s="156" t="s">
        <v>353</v>
      </c>
    </row>
    <row r="42" customFormat="false" ht="19.5" hidden="false" customHeight="true" outlineLevel="0" collapsed="false">
      <c r="B42" s="75" t="s">
        <v>383</v>
      </c>
      <c r="C42" s="53" t="s">
        <v>389</v>
      </c>
      <c r="D42" s="54" t="s">
        <v>363</v>
      </c>
      <c r="E42" s="54" t="n">
        <v>1</v>
      </c>
      <c r="F42" s="147" t="n">
        <v>20</v>
      </c>
      <c r="G42" s="148" t="s">
        <v>356</v>
      </c>
      <c r="H42" s="149" t="n">
        <v>0.1</v>
      </c>
      <c r="I42" s="149" t="n">
        <v>0.2</v>
      </c>
      <c r="J42" s="149" t="n">
        <v>0.45</v>
      </c>
      <c r="K42" s="149" t="n">
        <v>0.2</v>
      </c>
      <c r="L42" s="149" t="n">
        <v>0.05</v>
      </c>
      <c r="M42" s="150" t="n">
        <f aca="false">IF(D42="L",Assumptions!C38,IF(D42="M",Assumptions!C39,IF(D42="H",Assumptions!C40,IF(D42="VH",Assumptions!C41,1))))</f>
        <v>1.4</v>
      </c>
      <c r="N42" s="151" t="n">
        <f aca="false">E42*F42</f>
        <v>20</v>
      </c>
      <c r="O42" s="152" t="n">
        <f aca="false">N42*M42</f>
        <v>28</v>
      </c>
      <c r="P42" s="153" t="s">
        <v>357</v>
      </c>
    </row>
    <row r="43" customFormat="false" ht="19.5" hidden="false" customHeight="true" outlineLevel="0" collapsed="false">
      <c r="B43" s="76" t="s">
        <v>383</v>
      </c>
      <c r="C43" s="56" t="s">
        <v>390</v>
      </c>
      <c r="D43" s="157" t="s">
        <v>360</v>
      </c>
      <c r="E43" s="54" t="n">
        <v>1</v>
      </c>
      <c r="F43" s="147" t="n">
        <v>6</v>
      </c>
      <c r="G43" s="154" t="s">
        <v>352</v>
      </c>
      <c r="H43" s="155" t="n">
        <v>0.1</v>
      </c>
      <c r="I43" s="155" t="n">
        <v>0.2</v>
      </c>
      <c r="J43" s="155" t="n">
        <v>0.55</v>
      </c>
      <c r="K43" s="155" t="n">
        <v>0.1</v>
      </c>
      <c r="L43" s="155" t="n">
        <v>0.05</v>
      </c>
      <c r="M43" s="150" t="n">
        <f aca="false">IF(D43="L",Assumptions!C38,IF(D43="M",Assumptions!C39,IF(D43="H",Assumptions!C40,IF(D43="VH",Assumptions!C41,1))))</f>
        <v>0.7</v>
      </c>
      <c r="N43" s="151" t="n">
        <f aca="false">E43*F43</f>
        <v>6</v>
      </c>
      <c r="O43" s="152" t="n">
        <f aca="false">N43*M43</f>
        <v>4.2</v>
      </c>
      <c r="P43" s="156" t="s">
        <v>353</v>
      </c>
    </row>
    <row r="44" customFormat="false" ht="19.5" hidden="false" customHeight="true" outlineLevel="0" collapsed="false">
      <c r="B44" s="75" t="s">
        <v>391</v>
      </c>
      <c r="C44" s="53" t="s">
        <v>392</v>
      </c>
      <c r="D44" s="146" t="s">
        <v>351</v>
      </c>
      <c r="E44" s="54" t="n">
        <v>1</v>
      </c>
      <c r="F44" s="147" t="n">
        <v>10</v>
      </c>
      <c r="G44" s="148" t="s">
        <v>358</v>
      </c>
      <c r="H44" s="149" t="n">
        <v>0.1</v>
      </c>
      <c r="I44" s="149" t="n">
        <v>0.2</v>
      </c>
      <c r="J44" s="149" t="n">
        <v>0.5</v>
      </c>
      <c r="K44" s="149" t="n">
        <v>0.15</v>
      </c>
      <c r="L44" s="149" t="n">
        <v>0.05</v>
      </c>
      <c r="M44" s="150" t="n">
        <f aca="false">IF(D44="L",Assumptions!C38,IF(D44="M",Assumptions!C39,IF(D44="H",Assumptions!C40,IF(D44="VH",Assumptions!C41,1))))</f>
        <v>1</v>
      </c>
      <c r="N44" s="151" t="n">
        <f aca="false">E44*F44</f>
        <v>10</v>
      </c>
      <c r="O44" s="152" t="n">
        <f aca="false">N44*M44</f>
        <v>10</v>
      </c>
      <c r="P44" s="153" t="s">
        <v>353</v>
      </c>
    </row>
    <row r="45" customFormat="false" ht="19.5" hidden="false" customHeight="true" outlineLevel="0" collapsed="false">
      <c r="B45" s="76" t="s">
        <v>391</v>
      </c>
      <c r="C45" s="56" t="s">
        <v>393</v>
      </c>
      <c r="D45" s="54" t="s">
        <v>363</v>
      </c>
      <c r="E45" s="54" t="n">
        <v>1</v>
      </c>
      <c r="F45" s="147" t="n">
        <v>20</v>
      </c>
      <c r="G45" s="154" t="s">
        <v>356</v>
      </c>
      <c r="H45" s="155" t="n">
        <v>0.1</v>
      </c>
      <c r="I45" s="155" t="n">
        <v>0.2</v>
      </c>
      <c r="J45" s="155" t="n">
        <v>0.45</v>
      </c>
      <c r="K45" s="155" t="n">
        <v>0.2</v>
      </c>
      <c r="L45" s="155" t="n">
        <v>0.05</v>
      </c>
      <c r="M45" s="150" t="n">
        <f aca="false">IF(D45="L",Assumptions!C38,IF(D45="M",Assumptions!C39,IF(D45="H",Assumptions!C40,IF(D45="VH",Assumptions!C41,1))))</f>
        <v>1.4</v>
      </c>
      <c r="N45" s="151" t="n">
        <f aca="false">E45*F45</f>
        <v>20</v>
      </c>
      <c r="O45" s="152" t="n">
        <f aca="false">N45*M45</f>
        <v>28</v>
      </c>
      <c r="P45" s="156" t="s">
        <v>357</v>
      </c>
    </row>
    <row r="46" customFormat="false" ht="19.5" hidden="false" customHeight="true" outlineLevel="0" collapsed="false">
      <c r="B46" s="75" t="s">
        <v>394</v>
      </c>
      <c r="C46" s="53" t="s">
        <v>395</v>
      </c>
      <c r="D46" s="146" t="s">
        <v>351</v>
      </c>
      <c r="E46" s="54" t="n">
        <v>1</v>
      </c>
      <c r="F46" s="147" t="n">
        <v>10</v>
      </c>
      <c r="G46" s="148" t="s">
        <v>358</v>
      </c>
      <c r="H46" s="149" t="n">
        <v>0.1</v>
      </c>
      <c r="I46" s="149" t="n">
        <v>0.2</v>
      </c>
      <c r="J46" s="149" t="n">
        <v>0.5</v>
      </c>
      <c r="K46" s="149" t="n">
        <v>0.15</v>
      </c>
      <c r="L46" s="149" t="n">
        <v>0.05</v>
      </c>
      <c r="M46" s="150" t="n">
        <f aca="false">IF(D46="L",Assumptions!C38,IF(D46="M",Assumptions!C39,IF(D46="H",Assumptions!C40,IF(D46="VH",Assumptions!C41,1))))</f>
        <v>1</v>
      </c>
      <c r="N46" s="151" t="n">
        <f aca="false">E46*F46</f>
        <v>10</v>
      </c>
      <c r="O46" s="152" t="n">
        <f aca="false">N46*M46</f>
        <v>10</v>
      </c>
      <c r="P46" s="153" t="s">
        <v>353</v>
      </c>
    </row>
    <row r="47" customFormat="false" ht="19.5" hidden="false" customHeight="true" outlineLevel="0" collapsed="false">
      <c r="B47" s="76" t="s">
        <v>396</v>
      </c>
      <c r="C47" s="56" t="s">
        <v>397</v>
      </c>
      <c r="D47" s="146" t="s">
        <v>351</v>
      </c>
      <c r="E47" s="54" t="n">
        <v>1</v>
      </c>
      <c r="F47" s="147" t="n">
        <v>12</v>
      </c>
      <c r="G47" s="154" t="s">
        <v>358</v>
      </c>
      <c r="H47" s="155" t="n">
        <v>0.1</v>
      </c>
      <c r="I47" s="155" t="n">
        <v>0.2</v>
      </c>
      <c r="J47" s="155" t="n">
        <v>0.5</v>
      </c>
      <c r="K47" s="155" t="n">
        <v>0.15</v>
      </c>
      <c r="L47" s="155" t="n">
        <v>0.05</v>
      </c>
      <c r="M47" s="150" t="n">
        <f aca="false">IF(D47="L",Assumptions!C38,IF(D47="M",Assumptions!C39,IF(D47="H",Assumptions!C40,IF(D47="VH",Assumptions!C41,1))))</f>
        <v>1</v>
      </c>
      <c r="N47" s="151" t="n">
        <f aca="false">E47*F47</f>
        <v>12</v>
      </c>
      <c r="O47" s="152" t="n">
        <f aca="false">N47*M47</f>
        <v>12</v>
      </c>
      <c r="P47" s="156" t="s">
        <v>353</v>
      </c>
    </row>
    <row r="48" customFormat="false" ht="19.5" hidden="false" customHeight="true" outlineLevel="0" collapsed="false">
      <c r="B48" s="75" t="s">
        <v>398</v>
      </c>
      <c r="C48" s="53" t="s">
        <v>399</v>
      </c>
      <c r="D48" s="54" t="s">
        <v>363</v>
      </c>
      <c r="E48" s="54" t="n">
        <v>1</v>
      </c>
      <c r="F48" s="147" t="n">
        <v>25</v>
      </c>
      <c r="G48" s="148" t="s">
        <v>358</v>
      </c>
      <c r="H48" s="149" t="n">
        <v>0.1</v>
      </c>
      <c r="I48" s="149" t="n">
        <v>0.2</v>
      </c>
      <c r="J48" s="149" t="n">
        <v>0.45</v>
      </c>
      <c r="K48" s="149" t="n">
        <v>0.2</v>
      </c>
      <c r="L48" s="149" t="n">
        <v>0.05</v>
      </c>
      <c r="M48" s="150" t="n">
        <f aca="false">IF(D48="L",Assumptions!C38,IF(D48="M",Assumptions!C39,IF(D48="H",Assumptions!C40,IF(D48="VH",Assumptions!C41,1))))</f>
        <v>1.4</v>
      </c>
      <c r="N48" s="151" t="n">
        <f aca="false">E48*F48</f>
        <v>25</v>
      </c>
      <c r="O48" s="152" t="n">
        <f aca="false">N48*M48</f>
        <v>35</v>
      </c>
      <c r="P48" s="153" t="s">
        <v>357</v>
      </c>
    </row>
    <row r="49" customFormat="false" ht="19.5" hidden="false" customHeight="true" outlineLevel="0" collapsed="false">
      <c r="B49" s="76" t="s">
        <v>398</v>
      </c>
      <c r="C49" s="56" t="s">
        <v>400</v>
      </c>
      <c r="D49" s="54" t="s">
        <v>363</v>
      </c>
      <c r="E49" s="54" t="n">
        <v>1</v>
      </c>
      <c r="F49" s="147" t="n">
        <v>22</v>
      </c>
      <c r="G49" s="154" t="s">
        <v>356</v>
      </c>
      <c r="H49" s="155" t="n">
        <v>0.1</v>
      </c>
      <c r="I49" s="155" t="n">
        <v>0.2</v>
      </c>
      <c r="J49" s="155" t="n">
        <v>0.45</v>
      </c>
      <c r="K49" s="155" t="n">
        <v>0.2</v>
      </c>
      <c r="L49" s="155" t="n">
        <v>0.05</v>
      </c>
      <c r="M49" s="150" t="n">
        <f aca="false">IF(D49="L",Assumptions!C38,IF(D49="M",Assumptions!C39,IF(D49="H",Assumptions!C40,IF(D49="VH",Assumptions!C41,1))))</f>
        <v>1.4</v>
      </c>
      <c r="N49" s="151" t="n">
        <f aca="false">E49*F49</f>
        <v>22</v>
      </c>
      <c r="O49" s="152" t="n">
        <f aca="false">N49*M49</f>
        <v>30.8</v>
      </c>
      <c r="P49" s="156" t="s">
        <v>357</v>
      </c>
    </row>
    <row r="50" customFormat="false" ht="19.5" hidden="false" customHeight="true" outlineLevel="0" collapsed="false">
      <c r="B50" s="75" t="s">
        <v>398</v>
      </c>
      <c r="C50" s="53" t="s">
        <v>401</v>
      </c>
      <c r="D50" s="146" t="s">
        <v>351</v>
      </c>
      <c r="E50" s="54" t="n">
        <v>1</v>
      </c>
      <c r="F50" s="147" t="n">
        <v>12</v>
      </c>
      <c r="G50" s="148" t="s">
        <v>352</v>
      </c>
      <c r="H50" s="149" t="n">
        <v>0.1</v>
      </c>
      <c r="I50" s="149" t="n">
        <v>0.2</v>
      </c>
      <c r="J50" s="149" t="n">
        <v>0.5</v>
      </c>
      <c r="K50" s="149" t="n">
        <v>0.15</v>
      </c>
      <c r="L50" s="149" t="n">
        <v>0.05</v>
      </c>
      <c r="M50" s="150" t="n">
        <f aca="false">IF(D50="L",Assumptions!C38,IF(D50="M",Assumptions!C39,IF(D50="H",Assumptions!C40,IF(D50="VH",Assumptions!C41,1))))</f>
        <v>1</v>
      </c>
      <c r="N50" s="151" t="n">
        <f aca="false">E50*F50</f>
        <v>12</v>
      </c>
      <c r="O50" s="152" t="n">
        <f aca="false">N50*M50</f>
        <v>12</v>
      </c>
      <c r="P50" s="153" t="s">
        <v>353</v>
      </c>
    </row>
    <row r="51" customFormat="false" ht="19.5" hidden="false" customHeight="true" outlineLevel="0" collapsed="false">
      <c r="B51" s="76" t="s">
        <v>398</v>
      </c>
      <c r="C51" s="56" t="s">
        <v>402</v>
      </c>
      <c r="D51" s="54" t="s">
        <v>363</v>
      </c>
      <c r="E51" s="54" t="n">
        <v>1</v>
      </c>
      <c r="F51" s="147" t="n">
        <v>18</v>
      </c>
      <c r="G51" s="154" t="s">
        <v>356</v>
      </c>
      <c r="H51" s="155" t="n">
        <v>0.1</v>
      </c>
      <c r="I51" s="155" t="n">
        <v>0.2</v>
      </c>
      <c r="J51" s="155" t="n">
        <v>0.45</v>
      </c>
      <c r="K51" s="155" t="n">
        <v>0.2</v>
      </c>
      <c r="L51" s="155" t="n">
        <v>0.05</v>
      </c>
      <c r="M51" s="150" t="n">
        <f aca="false">IF(D51="L",Assumptions!C38,IF(D51="M",Assumptions!C39,IF(D51="H",Assumptions!C40,IF(D51="VH",Assumptions!C41,1))))</f>
        <v>1.4</v>
      </c>
      <c r="N51" s="151" t="n">
        <f aca="false">E51*F51</f>
        <v>18</v>
      </c>
      <c r="O51" s="152" t="n">
        <f aca="false">N51*M51</f>
        <v>25.2</v>
      </c>
      <c r="P51" s="156" t="s">
        <v>357</v>
      </c>
    </row>
    <row r="52" customFormat="false" ht="19.5" hidden="false" customHeight="true" outlineLevel="0" collapsed="false">
      <c r="B52" s="75" t="s">
        <v>403</v>
      </c>
      <c r="C52" s="53" t="s">
        <v>404</v>
      </c>
      <c r="D52" s="146" t="s">
        <v>351</v>
      </c>
      <c r="E52" s="54" t="n">
        <v>17</v>
      </c>
      <c r="F52" s="147" t="n">
        <v>6</v>
      </c>
      <c r="G52" s="148" t="s">
        <v>352</v>
      </c>
      <c r="H52" s="149" t="n">
        <v>0.1</v>
      </c>
      <c r="I52" s="149" t="n">
        <v>0.2</v>
      </c>
      <c r="J52" s="149" t="n">
        <v>0.5</v>
      </c>
      <c r="K52" s="149" t="n">
        <v>0.15</v>
      </c>
      <c r="L52" s="149" t="n">
        <v>0.05</v>
      </c>
      <c r="M52" s="150" t="n">
        <f aca="false">IF(D52="L",Assumptions!C38,IF(D52="M",Assumptions!C39,IF(D52="H",Assumptions!C40,IF(D52="VH",Assumptions!C41,1))))</f>
        <v>1</v>
      </c>
      <c r="N52" s="151" t="n">
        <f aca="false">E52*F52</f>
        <v>102</v>
      </c>
      <c r="O52" s="152" t="n">
        <f aca="false">N52*M52</f>
        <v>102</v>
      </c>
      <c r="P52" s="153" t="s">
        <v>377</v>
      </c>
    </row>
    <row r="53" customFormat="false" ht="19.5" hidden="false" customHeight="true" outlineLevel="0" collapsed="false">
      <c r="B53" s="76" t="s">
        <v>403</v>
      </c>
      <c r="C53" s="56" t="s">
        <v>405</v>
      </c>
      <c r="D53" s="54" t="s">
        <v>363</v>
      </c>
      <c r="E53" s="54" t="n">
        <v>8</v>
      </c>
      <c r="F53" s="147" t="n">
        <v>14</v>
      </c>
      <c r="G53" s="154" t="s">
        <v>358</v>
      </c>
      <c r="H53" s="155" t="n">
        <v>0.1</v>
      </c>
      <c r="I53" s="155" t="n">
        <v>0.2</v>
      </c>
      <c r="J53" s="155" t="n">
        <v>0.45</v>
      </c>
      <c r="K53" s="155" t="n">
        <v>0.2</v>
      </c>
      <c r="L53" s="155" t="n">
        <v>0.05</v>
      </c>
      <c r="M53" s="150" t="n">
        <f aca="false">IF(D53="L",Assumptions!C38,IF(D53="M",Assumptions!C39,IF(D53="H",Assumptions!C40,IF(D53="VH",Assumptions!C41,1))))</f>
        <v>1.4</v>
      </c>
      <c r="N53" s="151" t="n">
        <f aca="false">E53*F53</f>
        <v>112</v>
      </c>
      <c r="O53" s="152" t="n">
        <f aca="false">N53*M53</f>
        <v>156.8</v>
      </c>
      <c r="P53" s="156" t="s">
        <v>377</v>
      </c>
    </row>
    <row r="54" customFormat="false" ht="19.5" hidden="false" customHeight="true" outlineLevel="0" collapsed="false">
      <c r="B54" s="75" t="s">
        <v>403</v>
      </c>
      <c r="C54" s="53" t="s">
        <v>406</v>
      </c>
      <c r="D54" s="146" t="s">
        <v>351</v>
      </c>
      <c r="E54" s="54" t="n">
        <v>1</v>
      </c>
      <c r="F54" s="147" t="n">
        <v>15</v>
      </c>
      <c r="G54" s="148" t="s">
        <v>352</v>
      </c>
      <c r="H54" s="149" t="n">
        <v>0.1</v>
      </c>
      <c r="I54" s="149" t="n">
        <v>0.2</v>
      </c>
      <c r="J54" s="149" t="n">
        <v>0.5</v>
      </c>
      <c r="K54" s="149" t="n">
        <v>0.15</v>
      </c>
      <c r="L54" s="149" t="n">
        <v>0.05</v>
      </c>
      <c r="M54" s="150" t="n">
        <f aca="false">IF(D54="L",Assumptions!C38,IF(D54="M",Assumptions!C39,IF(D54="H",Assumptions!C40,IF(D54="VH",Assumptions!C41,1))))</f>
        <v>1</v>
      </c>
      <c r="N54" s="151" t="n">
        <f aca="false">E54*F54</f>
        <v>15</v>
      </c>
      <c r="O54" s="152" t="n">
        <f aca="false">N54*M54</f>
        <v>15</v>
      </c>
      <c r="P54" s="153" t="s">
        <v>377</v>
      </c>
    </row>
    <row r="55" customFormat="false" ht="19.5" hidden="false" customHeight="true" outlineLevel="0" collapsed="false">
      <c r="B55" s="76" t="s">
        <v>403</v>
      </c>
      <c r="C55" s="56" t="s">
        <v>407</v>
      </c>
      <c r="D55" s="54" t="s">
        <v>363</v>
      </c>
      <c r="E55" s="54" t="n">
        <v>5</v>
      </c>
      <c r="F55" s="147" t="n">
        <v>18</v>
      </c>
      <c r="G55" s="154" t="s">
        <v>358</v>
      </c>
      <c r="H55" s="155" t="n">
        <v>0.1</v>
      </c>
      <c r="I55" s="155" t="n">
        <v>0.2</v>
      </c>
      <c r="J55" s="155" t="n">
        <v>0.4</v>
      </c>
      <c r="K55" s="155" t="n">
        <v>0.25</v>
      </c>
      <c r="L55" s="155" t="n">
        <v>0.05</v>
      </c>
      <c r="M55" s="150" t="n">
        <f aca="false">IF(D55="L",Assumptions!C38,IF(D55="M",Assumptions!C39,IF(D55="H",Assumptions!C40,IF(D55="VH",Assumptions!C41,1))))</f>
        <v>1.4</v>
      </c>
      <c r="N55" s="151" t="n">
        <f aca="false">E55*F55</f>
        <v>90</v>
      </c>
      <c r="O55" s="152" t="n">
        <f aca="false">N55*M55</f>
        <v>126</v>
      </c>
      <c r="P55" s="156" t="s">
        <v>377</v>
      </c>
    </row>
    <row r="56" customFormat="false" ht="19.5" hidden="false" customHeight="true" outlineLevel="0" collapsed="false">
      <c r="B56" s="75" t="s">
        <v>307</v>
      </c>
      <c r="C56" s="53" t="s">
        <v>408</v>
      </c>
      <c r="D56" s="146" t="s">
        <v>351</v>
      </c>
      <c r="E56" s="54" t="n">
        <v>1</v>
      </c>
      <c r="F56" s="147" t="n">
        <v>12</v>
      </c>
      <c r="G56" s="148" t="s">
        <v>352</v>
      </c>
      <c r="H56" s="149" t="n">
        <v>0.2</v>
      </c>
      <c r="I56" s="149" t="n">
        <v>0.2</v>
      </c>
      <c r="J56" s="149" t="n">
        <v>0.35</v>
      </c>
      <c r="K56" s="149" t="n">
        <v>0.2</v>
      </c>
      <c r="L56" s="149" t="n">
        <v>0.05</v>
      </c>
      <c r="M56" s="150" t="n">
        <f aca="false">IF(D56="L",Assumptions!C38,IF(D56="M",Assumptions!C39,IF(D56="H",Assumptions!C40,IF(D56="VH",Assumptions!C41,1))))</f>
        <v>1</v>
      </c>
      <c r="N56" s="151" t="n">
        <f aca="false">E56*F56</f>
        <v>12</v>
      </c>
      <c r="O56" s="152" t="n">
        <f aca="false">N56*M56</f>
        <v>12</v>
      </c>
      <c r="P56" s="153" t="s">
        <v>253</v>
      </c>
    </row>
    <row r="57" customFormat="false" ht="19.5" hidden="false" customHeight="true" outlineLevel="0" collapsed="false">
      <c r="B57" s="76" t="s">
        <v>307</v>
      </c>
      <c r="C57" s="56" t="s">
        <v>409</v>
      </c>
      <c r="D57" s="54" t="s">
        <v>363</v>
      </c>
      <c r="E57" s="54" t="n">
        <v>1</v>
      </c>
      <c r="F57" s="147" t="n">
        <v>18</v>
      </c>
      <c r="G57" s="154" t="s">
        <v>358</v>
      </c>
      <c r="H57" s="155" t="n">
        <v>0.15</v>
      </c>
      <c r="I57" s="155" t="n">
        <v>0.2</v>
      </c>
      <c r="J57" s="155" t="n">
        <v>0.4</v>
      </c>
      <c r="K57" s="155" t="n">
        <v>0.2</v>
      </c>
      <c r="L57" s="155" t="n">
        <v>0.05</v>
      </c>
      <c r="M57" s="150" t="n">
        <f aca="false">IF(D57="L",Assumptions!C38,IF(D57="M",Assumptions!C39,IF(D57="H",Assumptions!C40,IF(D57="VH",Assumptions!C41,1))))</f>
        <v>1.4</v>
      </c>
      <c r="N57" s="151" t="n">
        <f aca="false">E57*F57</f>
        <v>18</v>
      </c>
      <c r="O57" s="152" t="n">
        <f aca="false">N57*M57</f>
        <v>25.2</v>
      </c>
      <c r="P57" s="156" t="s">
        <v>253</v>
      </c>
    </row>
    <row r="58" customFormat="false" ht="19.5" hidden="false" customHeight="true" outlineLevel="0" collapsed="false">
      <c r="B58" s="75" t="s">
        <v>307</v>
      </c>
      <c r="C58" s="53" t="s">
        <v>410</v>
      </c>
      <c r="D58" s="146" t="s">
        <v>351</v>
      </c>
      <c r="E58" s="54" t="n">
        <v>15</v>
      </c>
      <c r="F58" s="147" t="n">
        <v>4</v>
      </c>
      <c r="G58" s="148" t="s">
        <v>352</v>
      </c>
      <c r="H58" s="149" t="n">
        <v>0.1</v>
      </c>
      <c r="I58" s="149" t="n">
        <v>0.2</v>
      </c>
      <c r="J58" s="149" t="n">
        <v>0.5</v>
      </c>
      <c r="K58" s="149" t="n">
        <v>0.15</v>
      </c>
      <c r="L58" s="149" t="n">
        <v>0.05</v>
      </c>
      <c r="M58" s="150" t="n">
        <f aca="false">IF(D58="L",Assumptions!C38,IF(D58="M",Assumptions!C39,IF(D58="H",Assumptions!C40,IF(D58="VH",Assumptions!C41,1))))</f>
        <v>1</v>
      </c>
      <c r="N58" s="151" t="n">
        <f aca="false">E58*F58</f>
        <v>60</v>
      </c>
      <c r="O58" s="152" t="n">
        <f aca="false">N58*M58</f>
        <v>60</v>
      </c>
      <c r="P58" s="153" t="s">
        <v>251</v>
      </c>
    </row>
    <row r="59" customFormat="false" ht="19.5" hidden="false" customHeight="true" outlineLevel="0" collapsed="false">
      <c r="B59" s="76" t="s">
        <v>307</v>
      </c>
      <c r="C59" s="56" t="s">
        <v>411</v>
      </c>
      <c r="D59" s="54" t="s">
        <v>363</v>
      </c>
      <c r="E59" s="54" t="n">
        <v>1</v>
      </c>
      <c r="F59" s="147" t="n">
        <v>15</v>
      </c>
      <c r="G59" s="154" t="s">
        <v>356</v>
      </c>
      <c r="H59" s="155" t="n">
        <v>0.1</v>
      </c>
      <c r="I59" s="155" t="n">
        <v>0.1</v>
      </c>
      <c r="J59" s="155" t="n">
        <v>0.3</v>
      </c>
      <c r="K59" s="155" t="n">
        <v>0.45</v>
      </c>
      <c r="L59" s="155" t="n">
        <v>0.05</v>
      </c>
      <c r="M59" s="150" t="n">
        <f aca="false">IF(D59="L",Assumptions!C38,IF(D59="M",Assumptions!C39,IF(D59="H",Assumptions!C40,IF(D59="VH",Assumptions!C41,1))))</f>
        <v>1.4</v>
      </c>
      <c r="N59" s="151" t="n">
        <f aca="false">E59*F59</f>
        <v>15</v>
      </c>
      <c r="O59" s="152" t="n">
        <f aca="false">N59*M59</f>
        <v>21</v>
      </c>
      <c r="P59" s="156" t="s">
        <v>253</v>
      </c>
    </row>
    <row r="60" customFormat="false" ht="19.5" hidden="false" customHeight="true" outlineLevel="0" collapsed="false">
      <c r="B60" s="75" t="s">
        <v>307</v>
      </c>
      <c r="C60" s="53" t="s">
        <v>412</v>
      </c>
      <c r="D60" s="54" t="s">
        <v>363</v>
      </c>
      <c r="E60" s="54" t="n">
        <v>1</v>
      </c>
      <c r="F60" s="147" t="n">
        <v>10</v>
      </c>
      <c r="G60" s="148" t="s">
        <v>352</v>
      </c>
      <c r="H60" s="149" t="n">
        <v>0.05</v>
      </c>
      <c r="I60" s="149" t="n">
        <v>0.05</v>
      </c>
      <c r="J60" s="149" t="n">
        <v>0.15</v>
      </c>
      <c r="K60" s="149" t="n">
        <v>0.2</v>
      </c>
      <c r="L60" s="149" t="n">
        <v>0.55</v>
      </c>
      <c r="M60" s="150" t="n">
        <f aca="false">IF(D60="L",Assumptions!C38,IF(D60="M",Assumptions!C39,IF(D60="H",Assumptions!C40,IF(D60="VH",Assumptions!C41,1))))</f>
        <v>1.4</v>
      </c>
      <c r="N60" s="151" t="n">
        <f aca="false">E60*F60</f>
        <v>10</v>
      </c>
      <c r="O60" s="152" t="n">
        <f aca="false">N60*M60</f>
        <v>14</v>
      </c>
      <c r="P60" s="153" t="s">
        <v>259</v>
      </c>
    </row>
    <row r="61" customFormat="false" ht="19.5" hidden="false" customHeight="true" outlineLevel="0" collapsed="false">
      <c r="B61" s="76" t="s">
        <v>413</v>
      </c>
      <c r="C61" s="56" t="s">
        <v>414</v>
      </c>
      <c r="D61" s="157" t="s">
        <v>360</v>
      </c>
      <c r="E61" s="54" t="n">
        <v>20</v>
      </c>
      <c r="F61" s="147" t="n">
        <v>1.5</v>
      </c>
      <c r="G61" s="154" t="s">
        <v>352</v>
      </c>
      <c r="H61" s="155" t="n">
        <v>0.05</v>
      </c>
      <c r="I61" s="155" t="n">
        <v>0.15</v>
      </c>
      <c r="J61" s="155" t="n">
        <v>0.55</v>
      </c>
      <c r="K61" s="155" t="n">
        <v>0.2</v>
      </c>
      <c r="L61" s="155" t="n">
        <v>0.05</v>
      </c>
      <c r="M61" s="150" t="n">
        <f aca="false">IF(D61="L",Assumptions!C38,IF(D61="M",Assumptions!C39,IF(D61="H",Assumptions!C40,IF(D61="VH",Assumptions!C41,1))))</f>
        <v>0.7</v>
      </c>
      <c r="N61" s="151" t="n">
        <f aca="false">E61*F61</f>
        <v>30</v>
      </c>
      <c r="O61" s="152" t="n">
        <f aca="false">N61*M61</f>
        <v>21</v>
      </c>
      <c r="P61" s="156" t="s">
        <v>251</v>
      </c>
    </row>
    <row r="62" customFormat="false" ht="19.5" hidden="false" customHeight="true" outlineLevel="0" collapsed="false">
      <c r="B62" s="75" t="s">
        <v>413</v>
      </c>
      <c r="C62" s="53" t="s">
        <v>415</v>
      </c>
      <c r="D62" s="54" t="s">
        <v>363</v>
      </c>
      <c r="E62" s="54" t="n">
        <v>10</v>
      </c>
      <c r="F62" s="147" t="n">
        <v>5</v>
      </c>
      <c r="G62" s="148" t="s">
        <v>358</v>
      </c>
      <c r="H62" s="149" t="n">
        <v>0.05</v>
      </c>
      <c r="I62" s="149" t="n">
        <v>0.15</v>
      </c>
      <c r="J62" s="149" t="n">
        <v>0.5</v>
      </c>
      <c r="K62" s="149" t="n">
        <v>0.25</v>
      </c>
      <c r="L62" s="149" t="n">
        <v>0.05</v>
      </c>
      <c r="M62" s="150" t="n">
        <f aca="false">IF(D62="L",Assumptions!C38,IF(D62="M",Assumptions!C39,IF(D62="H",Assumptions!C40,IF(D62="VH",Assumptions!C41,1))))</f>
        <v>1.4</v>
      </c>
      <c r="N62" s="151" t="n">
        <f aca="false">E62*F62</f>
        <v>50</v>
      </c>
      <c r="O62" s="152" t="n">
        <f aca="false">N62*M62</f>
        <v>70</v>
      </c>
      <c r="P62" s="153" t="s">
        <v>251</v>
      </c>
    </row>
    <row r="63" customFormat="false" ht="19.5" hidden="false" customHeight="true" outlineLevel="0" collapsed="false">
      <c r="B63" s="76" t="s">
        <v>413</v>
      </c>
      <c r="C63" s="56" t="s">
        <v>416</v>
      </c>
      <c r="D63" s="54" t="s">
        <v>363</v>
      </c>
      <c r="E63" s="54" t="n">
        <v>5</v>
      </c>
      <c r="F63" s="147" t="n">
        <v>6</v>
      </c>
      <c r="G63" s="154" t="s">
        <v>356</v>
      </c>
      <c r="H63" s="155" t="n">
        <v>0.1</v>
      </c>
      <c r="I63" s="155" t="n">
        <v>0.2</v>
      </c>
      <c r="J63" s="155" t="n">
        <v>0.45</v>
      </c>
      <c r="K63" s="155" t="n">
        <v>0.2</v>
      </c>
      <c r="L63" s="155" t="n">
        <v>0.05</v>
      </c>
      <c r="M63" s="150" t="n">
        <f aca="false">IF(D63="L",Assumptions!C38,IF(D63="M",Assumptions!C39,IF(D63="H",Assumptions!C40,IF(D63="VH",Assumptions!C41,1))))</f>
        <v>1.4</v>
      </c>
      <c r="N63" s="151" t="n">
        <f aca="false">E63*F63</f>
        <v>30</v>
      </c>
      <c r="O63" s="152" t="n">
        <f aca="false">N63*M63</f>
        <v>42</v>
      </c>
      <c r="P63" s="156" t="s">
        <v>377</v>
      </c>
    </row>
    <row r="64" customFormat="false" ht="19.5" hidden="false" customHeight="true" outlineLevel="0" collapsed="false">
      <c r="B64" s="75" t="s">
        <v>413</v>
      </c>
      <c r="C64" s="53" t="s">
        <v>417</v>
      </c>
      <c r="D64" s="54" t="s">
        <v>363</v>
      </c>
      <c r="E64" s="54" t="n">
        <v>8</v>
      </c>
      <c r="F64" s="147" t="n">
        <v>8</v>
      </c>
      <c r="G64" s="148" t="s">
        <v>356</v>
      </c>
      <c r="H64" s="149" t="n">
        <v>0.1</v>
      </c>
      <c r="I64" s="149" t="n">
        <v>0.2</v>
      </c>
      <c r="J64" s="149" t="n">
        <v>0.45</v>
      </c>
      <c r="K64" s="149" t="n">
        <v>0.2</v>
      </c>
      <c r="L64" s="149" t="n">
        <v>0.05</v>
      </c>
      <c r="M64" s="150" t="n">
        <f aca="false">IF(D64="L",Assumptions!C38,IF(D64="M",Assumptions!C39,IF(D64="H",Assumptions!C40,IF(D64="VH",Assumptions!C41,1))))</f>
        <v>1.4</v>
      </c>
      <c r="N64" s="151" t="n">
        <f aca="false">E64*F64</f>
        <v>64</v>
      </c>
      <c r="O64" s="152" t="n">
        <f aca="false">N64*M64</f>
        <v>89.6</v>
      </c>
      <c r="P64" s="153" t="s">
        <v>377</v>
      </c>
    </row>
    <row r="65" customFormat="false" ht="19.5" hidden="false" customHeight="true" outlineLevel="0" collapsed="false">
      <c r="B65" s="76" t="s">
        <v>418</v>
      </c>
      <c r="C65" s="56" t="s">
        <v>419</v>
      </c>
      <c r="D65" s="54" t="s">
        <v>363</v>
      </c>
      <c r="E65" s="54" t="n">
        <v>1</v>
      </c>
      <c r="F65" s="147" t="n">
        <v>20</v>
      </c>
      <c r="G65" s="154" t="s">
        <v>356</v>
      </c>
      <c r="H65" s="155" t="n">
        <v>0.1</v>
      </c>
      <c r="I65" s="155" t="n">
        <v>0.25</v>
      </c>
      <c r="J65" s="155" t="n">
        <v>0.4</v>
      </c>
      <c r="K65" s="155" t="n">
        <v>0.2</v>
      </c>
      <c r="L65" s="155" t="n">
        <v>0.05</v>
      </c>
      <c r="M65" s="150" t="n">
        <f aca="false">IF(D65="L",Assumptions!C38,IF(D65="M",Assumptions!C39,IF(D65="H",Assumptions!C40,IF(D65="VH",Assumptions!C41,1))))</f>
        <v>1.4</v>
      </c>
      <c r="N65" s="151" t="n">
        <f aca="false">E65*F65</f>
        <v>20</v>
      </c>
      <c r="O65" s="152" t="n">
        <f aca="false">N65*M65</f>
        <v>28</v>
      </c>
      <c r="P65" s="156" t="s">
        <v>357</v>
      </c>
    </row>
    <row r="66" customFormat="false" ht="19.5" hidden="false" customHeight="true" outlineLevel="0" collapsed="false">
      <c r="B66" s="75" t="s">
        <v>418</v>
      </c>
      <c r="C66" s="53" t="s">
        <v>420</v>
      </c>
      <c r="D66" s="146" t="s">
        <v>351</v>
      </c>
      <c r="E66" s="54" t="n">
        <v>1</v>
      </c>
      <c r="F66" s="147" t="n">
        <v>10</v>
      </c>
      <c r="G66" s="148" t="s">
        <v>352</v>
      </c>
      <c r="H66" s="149" t="n">
        <v>0.1</v>
      </c>
      <c r="I66" s="149" t="n">
        <v>0.2</v>
      </c>
      <c r="J66" s="149" t="n">
        <v>0.5</v>
      </c>
      <c r="K66" s="149" t="n">
        <v>0.15</v>
      </c>
      <c r="L66" s="149" t="n">
        <v>0.05</v>
      </c>
      <c r="M66" s="150" t="n">
        <f aca="false">IF(D66="L",Assumptions!C38,IF(D66="M",Assumptions!C39,IF(D66="H",Assumptions!C40,IF(D66="VH",Assumptions!C41,1))))</f>
        <v>1</v>
      </c>
      <c r="N66" s="151" t="n">
        <f aca="false">E66*F66</f>
        <v>10</v>
      </c>
      <c r="O66" s="152" t="n">
        <f aca="false">N66*M66</f>
        <v>10</v>
      </c>
      <c r="P66" s="153" t="s">
        <v>377</v>
      </c>
    </row>
    <row r="67" customFormat="false" ht="19.5" hidden="false" customHeight="true" outlineLevel="0" collapsed="false">
      <c r="B67" s="76" t="s">
        <v>418</v>
      </c>
      <c r="C67" s="56" t="s">
        <v>421</v>
      </c>
      <c r="D67" s="54" t="s">
        <v>363</v>
      </c>
      <c r="E67" s="54" t="n">
        <v>1</v>
      </c>
      <c r="F67" s="147" t="n">
        <v>15</v>
      </c>
      <c r="G67" s="154" t="s">
        <v>358</v>
      </c>
      <c r="H67" s="155" t="n">
        <v>0.15</v>
      </c>
      <c r="I67" s="155" t="n">
        <v>0.2</v>
      </c>
      <c r="J67" s="155" t="n">
        <v>0.4</v>
      </c>
      <c r="K67" s="155" t="n">
        <v>0.2</v>
      </c>
      <c r="L67" s="155" t="n">
        <v>0.05</v>
      </c>
      <c r="M67" s="150" t="n">
        <f aca="false">IF(D67="L",Assumptions!C38,IF(D67="M",Assumptions!C39,IF(D67="H",Assumptions!C40,IF(D67="VH",Assumptions!C41,1))))</f>
        <v>1.4</v>
      </c>
      <c r="N67" s="151" t="n">
        <f aca="false">E67*F67</f>
        <v>15</v>
      </c>
      <c r="O67" s="152" t="n">
        <f aca="false">N67*M67</f>
        <v>21</v>
      </c>
      <c r="P67" s="156" t="s">
        <v>357</v>
      </c>
    </row>
    <row r="68" customFormat="false" ht="19.5" hidden="false" customHeight="true" outlineLevel="0" collapsed="false">
      <c r="B68" s="75" t="s">
        <v>422</v>
      </c>
      <c r="C68" s="53" t="s">
        <v>423</v>
      </c>
      <c r="D68" s="146" t="s">
        <v>351</v>
      </c>
      <c r="E68" s="54" t="n">
        <v>1</v>
      </c>
      <c r="F68" s="147" t="n">
        <v>10</v>
      </c>
      <c r="G68" s="148" t="s">
        <v>134</v>
      </c>
      <c r="H68" s="149" t="n">
        <v>0.15</v>
      </c>
      <c r="I68" s="149" t="n">
        <v>0.25</v>
      </c>
      <c r="J68" s="149" t="n">
        <v>0.3</v>
      </c>
      <c r="K68" s="149" t="n">
        <v>0.25</v>
      </c>
      <c r="L68" s="149" t="n">
        <v>0.05</v>
      </c>
      <c r="M68" s="150" t="n">
        <f aca="false">IF(D68="L",Assumptions!C38,IF(D68="M",Assumptions!C39,IF(D68="H",Assumptions!C40,IF(D68="VH",Assumptions!C41,1))))</f>
        <v>1</v>
      </c>
      <c r="N68" s="151" t="n">
        <f aca="false">E68*F68</f>
        <v>10</v>
      </c>
      <c r="O68" s="152" t="n">
        <f aca="false">N68*M68</f>
        <v>10</v>
      </c>
      <c r="P68" s="153" t="s">
        <v>424</v>
      </c>
    </row>
    <row r="69" customFormat="false" ht="19.5" hidden="false" customHeight="true" outlineLevel="0" collapsed="false">
      <c r="B69" s="76" t="s">
        <v>422</v>
      </c>
      <c r="C69" s="56" t="s">
        <v>425</v>
      </c>
      <c r="D69" s="146" t="s">
        <v>351</v>
      </c>
      <c r="E69" s="54" t="n">
        <v>1</v>
      </c>
      <c r="F69" s="147" t="n">
        <v>20</v>
      </c>
      <c r="G69" s="154" t="s">
        <v>134</v>
      </c>
      <c r="H69" s="155" t="n">
        <v>0.05</v>
      </c>
      <c r="I69" s="155" t="n">
        <v>0.15</v>
      </c>
      <c r="J69" s="155" t="n">
        <v>0.55</v>
      </c>
      <c r="K69" s="155" t="n">
        <v>0.2</v>
      </c>
      <c r="L69" s="155" t="n">
        <v>0.05</v>
      </c>
      <c r="M69" s="150" t="n">
        <f aca="false">IF(D69="L",Assumptions!C38,IF(D69="M",Assumptions!C39,IF(D69="H",Assumptions!C40,IF(D69="VH",Assumptions!C41,1))))</f>
        <v>1</v>
      </c>
      <c r="N69" s="151" t="n">
        <f aca="false">E69*F69</f>
        <v>20</v>
      </c>
      <c r="O69" s="152" t="n">
        <f aca="false">N69*M69</f>
        <v>20</v>
      </c>
      <c r="P69" s="156" t="s">
        <v>353</v>
      </c>
    </row>
    <row r="70" customFormat="false" ht="19.5" hidden="false" customHeight="true" outlineLevel="0" collapsed="false">
      <c r="B70" s="75" t="s">
        <v>422</v>
      </c>
      <c r="C70" s="53" t="s">
        <v>426</v>
      </c>
      <c r="D70" s="54" t="s">
        <v>363</v>
      </c>
      <c r="E70" s="54" t="n">
        <v>1</v>
      </c>
      <c r="F70" s="147" t="n">
        <v>25</v>
      </c>
      <c r="G70" s="148" t="s">
        <v>352</v>
      </c>
      <c r="H70" s="149" t="n">
        <v>0.05</v>
      </c>
      <c r="I70" s="149" t="n">
        <v>0.05</v>
      </c>
      <c r="J70" s="149" t="n">
        <v>0.25</v>
      </c>
      <c r="K70" s="149" t="n">
        <v>0.6</v>
      </c>
      <c r="L70" s="149" t="n">
        <v>0.05</v>
      </c>
      <c r="M70" s="150" t="n">
        <f aca="false">IF(D70="L",Assumptions!C38,IF(D70="M",Assumptions!C39,IF(D70="H",Assumptions!C40,IF(D70="VH",Assumptions!C41,1))))</f>
        <v>1.4</v>
      </c>
      <c r="N70" s="151" t="n">
        <f aca="false">E70*F70</f>
        <v>25</v>
      </c>
      <c r="O70" s="152" t="n">
        <f aca="false">N70*M70</f>
        <v>35</v>
      </c>
      <c r="P70" s="153" t="s">
        <v>424</v>
      </c>
    </row>
    <row r="71" customFormat="false" ht="19.5" hidden="false" customHeight="true" outlineLevel="0" collapsed="false">
      <c r="B71" s="76" t="s">
        <v>422</v>
      </c>
      <c r="C71" s="56" t="s">
        <v>427</v>
      </c>
      <c r="D71" s="146" t="s">
        <v>351</v>
      </c>
      <c r="E71" s="54" t="n">
        <v>1</v>
      </c>
      <c r="F71" s="147" t="n">
        <v>20</v>
      </c>
      <c r="G71" s="154" t="s">
        <v>134</v>
      </c>
      <c r="H71" s="155" t="n">
        <v>0</v>
      </c>
      <c r="I71" s="155" t="n">
        <v>0.05</v>
      </c>
      <c r="J71" s="155" t="n">
        <v>0.15</v>
      </c>
      <c r="K71" s="155" t="n">
        <v>0.75</v>
      </c>
      <c r="L71" s="155" t="n">
        <v>0.05</v>
      </c>
      <c r="M71" s="150" t="n">
        <f aca="false">IF(D71="L",Assumptions!C38,IF(D71="M",Assumptions!C39,IF(D71="H",Assumptions!C40,IF(D71="VH",Assumptions!C41,1))))</f>
        <v>1</v>
      </c>
      <c r="N71" s="151" t="n">
        <f aca="false">E71*F71</f>
        <v>20</v>
      </c>
      <c r="O71" s="152" t="n">
        <f aca="false">N71*M71</f>
        <v>20</v>
      </c>
      <c r="P71" s="156" t="s">
        <v>424</v>
      </c>
    </row>
    <row r="72" customFormat="false" ht="19.5" hidden="false" customHeight="true" outlineLevel="0" collapsed="false">
      <c r="B72" s="75" t="s">
        <v>422</v>
      </c>
      <c r="C72" s="53" t="s">
        <v>428</v>
      </c>
      <c r="D72" s="54" t="s">
        <v>363</v>
      </c>
      <c r="E72" s="54" t="n">
        <v>1</v>
      </c>
      <c r="F72" s="147" t="n">
        <v>15</v>
      </c>
      <c r="G72" s="148" t="s">
        <v>356</v>
      </c>
      <c r="H72" s="149" t="n">
        <v>0.05</v>
      </c>
      <c r="I72" s="149" t="n">
        <v>0.05</v>
      </c>
      <c r="J72" s="149" t="n">
        <v>0.2</v>
      </c>
      <c r="K72" s="149" t="n">
        <v>0.65</v>
      </c>
      <c r="L72" s="149" t="n">
        <v>0.05</v>
      </c>
      <c r="M72" s="150" t="n">
        <f aca="false">IF(D72="L",Assumptions!C38,IF(D72="M",Assumptions!C39,IF(D72="H",Assumptions!C40,IF(D72="VH",Assumptions!C41,1))))</f>
        <v>1.4</v>
      </c>
      <c r="N72" s="151" t="n">
        <f aca="false">E72*F72</f>
        <v>15</v>
      </c>
      <c r="O72" s="152" t="n">
        <f aca="false">N72*M72</f>
        <v>21</v>
      </c>
      <c r="P72" s="153" t="s">
        <v>377</v>
      </c>
    </row>
    <row r="73" customFormat="false" ht="19.5" hidden="false" customHeight="true" outlineLevel="0" collapsed="false">
      <c r="B73" s="76" t="s">
        <v>429</v>
      </c>
      <c r="C73" s="56" t="s">
        <v>430</v>
      </c>
      <c r="D73" s="146" t="s">
        <v>351</v>
      </c>
      <c r="E73" s="54" t="n">
        <v>1</v>
      </c>
      <c r="F73" s="147" t="n">
        <v>10</v>
      </c>
      <c r="G73" s="154" t="s">
        <v>431</v>
      </c>
      <c r="H73" s="155" t="n">
        <v>0.2</v>
      </c>
      <c r="I73" s="155" t="n">
        <v>0.3</v>
      </c>
      <c r="J73" s="155" t="n">
        <v>0.25</v>
      </c>
      <c r="K73" s="155" t="n">
        <v>0.2</v>
      </c>
      <c r="L73" s="155" t="n">
        <v>0.05</v>
      </c>
      <c r="M73" s="150" t="n">
        <f aca="false">IF(D73="L",Assumptions!C38,IF(D73="M",Assumptions!C39,IF(D73="H",Assumptions!C40,IF(D73="VH",Assumptions!C41,1))))</f>
        <v>1</v>
      </c>
      <c r="N73" s="151" t="n">
        <f aca="false">E73*F73</f>
        <v>10</v>
      </c>
      <c r="O73" s="152" t="n">
        <f aca="false">N73*M73</f>
        <v>10</v>
      </c>
      <c r="P73" s="156" t="s">
        <v>432</v>
      </c>
    </row>
    <row r="74" customFormat="false" ht="19.5" hidden="false" customHeight="true" outlineLevel="0" collapsed="false">
      <c r="B74" s="75" t="s">
        <v>429</v>
      </c>
      <c r="C74" s="53" t="s">
        <v>433</v>
      </c>
      <c r="D74" s="146" t="s">
        <v>351</v>
      </c>
      <c r="E74" s="54" t="n">
        <v>1</v>
      </c>
      <c r="F74" s="147" t="n">
        <v>15</v>
      </c>
      <c r="G74" s="148" t="s">
        <v>431</v>
      </c>
      <c r="H74" s="149" t="n">
        <v>0.15</v>
      </c>
      <c r="I74" s="149" t="n">
        <v>0.25</v>
      </c>
      <c r="J74" s="149" t="n">
        <v>0.3</v>
      </c>
      <c r="K74" s="149" t="n">
        <v>0.25</v>
      </c>
      <c r="L74" s="149" t="n">
        <v>0.05</v>
      </c>
      <c r="M74" s="150" t="n">
        <f aca="false">IF(D74="L",Assumptions!C38,IF(D74="M",Assumptions!C39,IF(D74="H",Assumptions!C40,IF(D74="VH",Assumptions!C41,1))))</f>
        <v>1</v>
      </c>
      <c r="N74" s="151" t="n">
        <f aca="false">E74*F74</f>
        <v>15</v>
      </c>
      <c r="O74" s="152" t="n">
        <f aca="false">N74*M74</f>
        <v>15</v>
      </c>
      <c r="P74" s="153" t="s">
        <v>432</v>
      </c>
    </row>
    <row r="75" customFormat="false" ht="24" hidden="false" customHeight="true" outlineLevel="0" collapsed="false">
      <c r="B75" s="76" t="s">
        <v>429</v>
      </c>
      <c r="C75" s="76"/>
      <c r="D75" s="76"/>
      <c r="E75" s="76"/>
      <c r="F75" s="76"/>
      <c r="G75" s="76"/>
      <c r="H75" s="76"/>
      <c r="I75" s="76"/>
      <c r="J75" s="76"/>
      <c r="K75" s="76"/>
      <c r="L75" s="76"/>
      <c r="M75" s="76"/>
      <c r="N75" s="151" t="n">
        <f aca="false">E75*F75</f>
        <v>0</v>
      </c>
      <c r="O75" s="152" t="n">
        <f aca="false">N75*M75</f>
        <v>0</v>
      </c>
      <c r="P75" s="156" t="s">
        <v>432</v>
      </c>
    </row>
    <row r="76" customFormat="false" ht="24" hidden="false" customHeight="true" outlineLevel="0" collapsed="false">
      <c r="B76" s="75" t="s">
        <v>429</v>
      </c>
      <c r="C76" s="75"/>
      <c r="D76" s="75"/>
      <c r="E76" s="75"/>
      <c r="F76" s="75"/>
      <c r="G76" s="75"/>
      <c r="H76" s="75"/>
      <c r="I76" s="75"/>
      <c r="J76" s="75"/>
      <c r="K76" s="75"/>
      <c r="L76" s="75"/>
      <c r="M76" s="75"/>
      <c r="N76" s="151" t="n">
        <f aca="false">E76*F76</f>
        <v>0</v>
      </c>
      <c r="O76" s="152" t="n">
        <f aca="false">N76*M76</f>
        <v>0</v>
      </c>
      <c r="P76" s="153" t="s">
        <v>353</v>
      </c>
    </row>
    <row r="77" customFormat="false" ht="15" hidden="false" customHeight="true" outlineLevel="0" collapsed="false">
      <c r="B77" s="76" t="s">
        <v>429</v>
      </c>
      <c r="C77" s="56" t="s">
        <v>434</v>
      </c>
      <c r="D77" s="146" t="s">
        <v>351</v>
      </c>
      <c r="E77" s="54" t="n">
        <v>1</v>
      </c>
      <c r="F77" s="147" t="n">
        <v>15</v>
      </c>
      <c r="G77" s="154" t="s">
        <v>431</v>
      </c>
      <c r="H77" s="155" t="n">
        <v>0</v>
      </c>
      <c r="I77" s="155" t="n">
        <v>0.05</v>
      </c>
      <c r="J77" s="155" t="n">
        <v>0.15</v>
      </c>
      <c r="K77" s="155" t="n">
        <v>0.2</v>
      </c>
      <c r="L77" s="155" t="n">
        <v>0.6</v>
      </c>
      <c r="M77" s="150" t="n">
        <f aca="false">IF(D77="L",Assumptions!C38,IF(D77="M",Assumptions!C39,IF(D77="H",Assumptions!C40,IF(D77="VH",Assumptions!C41,1))))</f>
        <v>1</v>
      </c>
      <c r="N77" s="151" t="n">
        <f aca="false">E77*F77</f>
        <v>15</v>
      </c>
      <c r="O77" s="152" t="n">
        <f aca="false">N77*M77</f>
        <v>15</v>
      </c>
      <c r="P77" s="156" t="s">
        <v>353</v>
      </c>
    </row>
    <row r="78" customFormat="false" ht="15" hidden="false" customHeight="true" outlineLevel="0" collapsed="false">
      <c r="B78" s="75" t="s">
        <v>435</v>
      </c>
      <c r="C78" s="53" t="s">
        <v>436</v>
      </c>
      <c r="D78" s="54" t="s">
        <v>363</v>
      </c>
      <c r="E78" s="54" t="n">
        <v>1</v>
      </c>
      <c r="F78" s="147" t="n">
        <v>30</v>
      </c>
      <c r="G78" s="148" t="s">
        <v>437</v>
      </c>
      <c r="H78" s="149" t="n">
        <v>0.15</v>
      </c>
      <c r="I78" s="149" t="n">
        <v>0.2</v>
      </c>
      <c r="J78" s="149" t="n">
        <v>0.3</v>
      </c>
      <c r="K78" s="149" t="n">
        <v>0.2</v>
      </c>
      <c r="L78" s="149" t="n">
        <v>0.15</v>
      </c>
      <c r="M78" s="150" t="n">
        <f aca="false">IF(D78="L",Assumptions!C38,IF(D78="M",Assumptions!C39,IF(D78="H",Assumptions!C40,IF(D78="VH",Assumptions!C41,1))))</f>
        <v>1.4</v>
      </c>
      <c r="N78" s="151" t="n">
        <f aca="false">E78*F78</f>
        <v>30</v>
      </c>
      <c r="O78" s="152" t="n">
        <f aca="false">N78*M78</f>
        <v>42</v>
      </c>
      <c r="P78" s="153" t="s">
        <v>259</v>
      </c>
    </row>
    <row r="79" customFormat="false" ht="15" hidden="false" customHeight="true" outlineLevel="0" collapsed="false">
      <c r="B79" s="76" t="s">
        <v>435</v>
      </c>
      <c r="C79" s="56" t="s">
        <v>438</v>
      </c>
      <c r="D79" s="146" t="s">
        <v>351</v>
      </c>
      <c r="E79" s="54" t="n">
        <v>1</v>
      </c>
      <c r="F79" s="147" t="n">
        <v>10</v>
      </c>
      <c r="G79" s="154" t="s">
        <v>437</v>
      </c>
      <c r="H79" s="155" t="n">
        <v>0.15</v>
      </c>
      <c r="I79" s="155" t="n">
        <v>0.2</v>
      </c>
      <c r="J79" s="155" t="n">
        <v>0.3</v>
      </c>
      <c r="K79" s="155" t="n">
        <v>0.2</v>
      </c>
      <c r="L79" s="155" t="n">
        <v>0.15</v>
      </c>
      <c r="M79" s="150" t="n">
        <f aca="false">IF(D79="L",Assumptions!C38,IF(D79="M",Assumptions!C39,IF(D79="H",Assumptions!C40,IF(D79="VH",Assumptions!C41,1))))</f>
        <v>1</v>
      </c>
      <c r="N79" s="151" t="n">
        <f aca="false">E79*F79</f>
        <v>10</v>
      </c>
      <c r="O79" s="152" t="n">
        <f aca="false">N79*M79</f>
        <v>10</v>
      </c>
      <c r="P79" s="156" t="s">
        <v>439</v>
      </c>
    </row>
    <row r="80" customFormat="false" ht="15" hidden="false" customHeight="true" outlineLevel="0" collapsed="false">
      <c r="B80" s="75" t="s">
        <v>435</v>
      </c>
      <c r="C80" s="53" t="s">
        <v>440</v>
      </c>
      <c r="D80" s="146" t="s">
        <v>351</v>
      </c>
      <c r="E80" s="54" t="n">
        <v>1</v>
      </c>
      <c r="F80" s="147" t="n">
        <v>8</v>
      </c>
      <c r="G80" s="148" t="s">
        <v>437</v>
      </c>
      <c r="H80" s="149" t="n">
        <v>0.15</v>
      </c>
      <c r="I80" s="149" t="n">
        <v>0.2</v>
      </c>
      <c r="J80" s="149" t="n">
        <v>0.3</v>
      </c>
      <c r="K80" s="149" t="n">
        <v>0.2</v>
      </c>
      <c r="L80" s="149" t="n">
        <v>0.15</v>
      </c>
      <c r="M80" s="150" t="n">
        <f aca="false">IF(D80="L",Assumptions!C38,IF(D80="M",Assumptions!C39,IF(D80="H",Assumptions!C40,IF(D80="VH",Assumptions!C41,1))))</f>
        <v>1</v>
      </c>
      <c r="N80" s="151" t="n">
        <f aca="false">E80*F80</f>
        <v>8</v>
      </c>
      <c r="O80" s="152" t="n">
        <f aca="false">N80*M80</f>
        <v>8</v>
      </c>
      <c r="P80" s="153" t="s">
        <v>259</v>
      </c>
    </row>
    <row r="81" customFormat="false" ht="15" hidden="false" customHeight="true" outlineLevel="0" collapsed="false">
      <c r="B81" s="76" t="s">
        <v>435</v>
      </c>
      <c r="C81" s="56" t="s">
        <v>441</v>
      </c>
      <c r="D81" s="54" t="s">
        <v>363</v>
      </c>
      <c r="E81" s="54" t="n">
        <v>1</v>
      </c>
      <c r="F81" s="147" t="n">
        <v>12</v>
      </c>
      <c r="G81" s="154" t="s">
        <v>356</v>
      </c>
      <c r="H81" s="155" t="n">
        <v>0.2</v>
      </c>
      <c r="I81" s="155" t="n">
        <v>0.25</v>
      </c>
      <c r="J81" s="155" t="n">
        <v>0.3</v>
      </c>
      <c r="K81" s="155" t="n">
        <v>0.2</v>
      </c>
      <c r="L81" s="155" t="n">
        <v>0.05</v>
      </c>
      <c r="M81" s="150" t="n">
        <f aca="false">IF(D81="L",Assumptions!C38,IF(D81="M",Assumptions!C39,IF(D81="H",Assumptions!C40,IF(D81="VH",Assumptions!C41,1))))</f>
        <v>1.4</v>
      </c>
      <c r="N81" s="151" t="n">
        <f aca="false">E81*F81</f>
        <v>12</v>
      </c>
      <c r="O81" s="152" t="n">
        <f aca="false">N81*M81</f>
        <v>16.8</v>
      </c>
      <c r="P81" s="156" t="s">
        <v>238</v>
      </c>
    </row>
    <row r="82" customFormat="false" ht="15" hidden="false" customHeight="true" outlineLevel="0" collapsed="false">
      <c r="B82" s="75" t="s">
        <v>435</v>
      </c>
      <c r="C82" s="53" t="s">
        <v>442</v>
      </c>
      <c r="D82" s="54" t="s">
        <v>363</v>
      </c>
      <c r="E82" s="54" t="n">
        <v>1</v>
      </c>
      <c r="F82" s="147" t="n">
        <v>15</v>
      </c>
      <c r="G82" s="148" t="s">
        <v>352</v>
      </c>
      <c r="H82" s="149" t="n">
        <v>0.3</v>
      </c>
      <c r="I82" s="149" t="n">
        <v>0.2</v>
      </c>
      <c r="J82" s="149" t="n">
        <v>0.3</v>
      </c>
      <c r="K82" s="149" t="n">
        <v>0.15</v>
      </c>
      <c r="L82" s="149" t="n">
        <v>0.05</v>
      </c>
      <c r="M82" s="150" t="n">
        <f aca="false">IF(D82="L",Assumptions!C38,IF(D82="M",Assumptions!C39,IF(D82="H",Assumptions!C40,IF(D82="VH",Assumptions!C41,1))))</f>
        <v>1.4</v>
      </c>
      <c r="N82" s="151" t="n">
        <f aca="false">E82*F82</f>
        <v>15</v>
      </c>
      <c r="O82" s="152" t="n">
        <f aca="false">N82*M82</f>
        <v>21</v>
      </c>
      <c r="P82" s="153" t="s">
        <v>443</v>
      </c>
    </row>
    <row r="83" customFormat="false" ht="15" hidden="false" customHeight="true" outlineLevel="0" collapsed="false">
      <c r="B83" s="158" t="s">
        <v>444</v>
      </c>
      <c r="C83" s="159"/>
      <c r="D83" s="159"/>
      <c r="E83" s="159"/>
      <c r="F83" s="159"/>
      <c r="G83" s="159"/>
      <c r="H83" s="159"/>
      <c r="I83" s="159"/>
      <c r="J83" s="159"/>
      <c r="K83" s="159"/>
      <c r="L83" s="159"/>
      <c r="M83" s="159"/>
      <c r="N83" s="160" t="n">
        <f aca="false">SUM(N14:N82)</f>
        <v>1491</v>
      </c>
      <c r="O83" s="160" t="n">
        <f aca="false">SUM(O14:O82)</f>
        <v>1835.7</v>
      </c>
    </row>
    <row r="84" customFormat="false" ht="15" hidden="false" customHeight="true" outlineLevel="0" collapsed="false">
      <c r="B84" s="50" t="s">
        <v>445</v>
      </c>
      <c r="C84" s="159"/>
      <c r="D84" s="159"/>
      <c r="E84" s="159"/>
      <c r="F84" s="159"/>
      <c r="G84" s="159"/>
      <c r="H84" s="159"/>
      <c r="I84" s="159"/>
      <c r="J84" s="159"/>
      <c r="K84" s="159"/>
      <c r="L84" s="159"/>
      <c r="M84" s="159"/>
      <c r="O84" s="161" t="n">
        <f aca="false">O83*(1+Assumptions!C14/100)</f>
        <v>2111.055</v>
      </c>
    </row>
  </sheetData>
  <mergeCells count="17">
    <mergeCell ref="B1:O1"/>
    <mergeCell ref="B2:O2"/>
    <mergeCell ref="B6:P6"/>
    <mergeCell ref="B7:P7"/>
    <mergeCell ref="B8:D8"/>
    <mergeCell ref="E8:N8"/>
    <mergeCell ref="B9:D9"/>
    <mergeCell ref="E9:N9"/>
    <mergeCell ref="B10:D10"/>
    <mergeCell ref="E10:N10"/>
    <mergeCell ref="B11:D11"/>
    <mergeCell ref="E11:N11"/>
    <mergeCell ref="B12:D12"/>
    <mergeCell ref="E12:N12"/>
    <mergeCell ref="B13:P13"/>
    <mergeCell ref="B75:M75"/>
    <mergeCell ref="B76:M76"/>
  </mergeCells>
  <dataValidations count="1">
    <dataValidation allowBlank="false" error="Enter L, M, H, or VH" errorStyle="stop" errorTitle="Invalid Complexity" operator="between" prompt="L=Low(0.7×) | M=Medium(1.0×) | H=High(1.4×) | VH=Very High(1.9×)" promptTitle="Select Complexity" showDropDown="false" showErrorMessage="true" showInputMessage="true" sqref="D14:D82" type="list">
      <formula1>"L,M,H,VH"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25"/>
    <col collapsed="false" customWidth="true" hidden="false" outlineLevel="0" max="4" min="4" style="1" width="18"/>
    <col collapsed="false" customWidth="true" hidden="false" outlineLevel="0" max="8" min="5" style="1" width="14"/>
    <col collapsed="false" customWidth="true" hidden="false" outlineLevel="0" max="9" min="9" style="1" width="30"/>
  </cols>
  <sheetData>
    <row r="1" customFormat="false" ht="36" hidden="false" customHeight="true" outlineLevel="0" collapsed="false">
      <c r="B1" s="91" t="s">
        <v>446</v>
      </c>
      <c r="C1" s="91"/>
      <c r="D1" s="91"/>
      <c r="E1" s="91"/>
      <c r="F1" s="91"/>
      <c r="G1" s="91"/>
      <c r="H1" s="91"/>
      <c r="I1" s="91"/>
    </row>
    <row r="3" customFormat="false" ht="21.75" hidden="false" customHeight="true" outlineLevel="0" collapsed="false">
      <c r="B3" s="50" t="s">
        <v>447</v>
      </c>
      <c r="C3" s="50"/>
      <c r="D3" s="50"/>
      <c r="E3" s="50"/>
      <c r="F3" s="50"/>
      <c r="G3" s="50"/>
      <c r="H3" s="50"/>
      <c r="I3" s="50"/>
    </row>
    <row r="4" customFormat="false" ht="18" hidden="false" customHeight="true" outlineLevel="0" collapsed="false">
      <c r="B4" s="6" t="s">
        <v>448</v>
      </c>
      <c r="C4" s="6" t="s">
        <v>449</v>
      </c>
      <c r="D4" s="6" t="s">
        <v>267</v>
      </c>
      <c r="E4" s="6" t="s">
        <v>277</v>
      </c>
      <c r="F4" s="6" t="s">
        <v>450</v>
      </c>
      <c r="G4" s="6" t="s">
        <v>189</v>
      </c>
      <c r="H4" s="6" t="s">
        <v>451</v>
      </c>
    </row>
    <row r="5" customFormat="false" ht="19.5" hidden="false" customHeight="true" outlineLevel="0" collapsed="false">
      <c r="B5" s="98" t="s">
        <v>452</v>
      </c>
      <c r="C5" s="101" t="s">
        <v>453</v>
      </c>
      <c r="D5" s="162" t="n">
        <v>10</v>
      </c>
      <c r="E5" s="162" t="n">
        <v>16</v>
      </c>
      <c r="F5" s="163" t="n">
        <v>13</v>
      </c>
      <c r="G5" s="131" t="s">
        <v>454</v>
      </c>
      <c r="H5" s="164" t="s">
        <v>455</v>
      </c>
      <c r="I5" s="164"/>
    </row>
    <row r="6" customFormat="false" ht="19.5" hidden="false" customHeight="true" outlineLevel="0" collapsed="false">
      <c r="B6" s="95" t="s">
        <v>456</v>
      </c>
      <c r="C6" s="96" t="s">
        <v>453</v>
      </c>
      <c r="D6" s="165" t="n">
        <v>18</v>
      </c>
      <c r="E6" s="165" t="n">
        <v>28</v>
      </c>
      <c r="F6" s="163" t="n">
        <v>22</v>
      </c>
      <c r="G6" s="134" t="s">
        <v>454</v>
      </c>
      <c r="H6" s="166" t="s">
        <v>457</v>
      </c>
      <c r="I6" s="166"/>
    </row>
    <row r="7" customFormat="false" ht="19.5" hidden="false" customHeight="true" outlineLevel="0" collapsed="false">
      <c r="B7" s="98" t="s">
        <v>458</v>
      </c>
      <c r="C7" s="101" t="s">
        <v>459</v>
      </c>
      <c r="D7" s="162" t="n">
        <v>14</v>
      </c>
      <c r="E7" s="162" t="n">
        <v>22</v>
      </c>
      <c r="F7" s="163" t="n">
        <v>18</v>
      </c>
      <c r="G7" s="131" t="s">
        <v>454</v>
      </c>
      <c r="H7" s="164" t="s">
        <v>460</v>
      </c>
      <c r="I7" s="164"/>
    </row>
    <row r="8" customFormat="false" ht="19.5" hidden="false" customHeight="true" outlineLevel="0" collapsed="false">
      <c r="B8" s="95" t="s">
        <v>461</v>
      </c>
      <c r="C8" s="96" t="s">
        <v>459</v>
      </c>
      <c r="D8" s="165" t="n">
        <v>10</v>
      </c>
      <c r="E8" s="165" t="n">
        <v>14</v>
      </c>
      <c r="F8" s="163" t="n">
        <v>12</v>
      </c>
      <c r="G8" s="134" t="s">
        <v>454</v>
      </c>
      <c r="H8" s="166" t="s">
        <v>462</v>
      </c>
      <c r="I8" s="166"/>
    </row>
    <row r="9" customFormat="false" ht="19.5" hidden="false" customHeight="true" outlineLevel="0" collapsed="false">
      <c r="B9" s="98" t="s">
        <v>463</v>
      </c>
      <c r="C9" s="101" t="s">
        <v>403</v>
      </c>
      <c r="D9" s="162" t="n">
        <v>4</v>
      </c>
      <c r="E9" s="162" t="n">
        <v>8</v>
      </c>
      <c r="F9" s="163" t="n">
        <v>6</v>
      </c>
      <c r="G9" s="131" t="s">
        <v>454</v>
      </c>
      <c r="H9" s="164" t="s">
        <v>464</v>
      </c>
      <c r="I9" s="164"/>
    </row>
    <row r="10" customFormat="false" ht="19.5" hidden="false" customHeight="true" outlineLevel="0" collapsed="false">
      <c r="B10" s="95" t="s">
        <v>465</v>
      </c>
      <c r="C10" s="96" t="s">
        <v>403</v>
      </c>
      <c r="D10" s="165" t="n">
        <v>10</v>
      </c>
      <c r="E10" s="165" t="n">
        <v>18</v>
      </c>
      <c r="F10" s="163" t="n">
        <v>14</v>
      </c>
      <c r="G10" s="134" t="s">
        <v>454</v>
      </c>
      <c r="H10" s="166" t="s">
        <v>466</v>
      </c>
      <c r="I10" s="166"/>
    </row>
    <row r="11" customFormat="false" ht="19.5" hidden="false" customHeight="true" outlineLevel="0" collapsed="false">
      <c r="B11" s="98" t="s">
        <v>467</v>
      </c>
      <c r="C11" s="101" t="s">
        <v>307</v>
      </c>
      <c r="D11" s="162" t="n">
        <v>3</v>
      </c>
      <c r="E11" s="162" t="n">
        <v>6</v>
      </c>
      <c r="F11" s="163" t="n">
        <v>4</v>
      </c>
      <c r="G11" s="131" t="s">
        <v>454</v>
      </c>
      <c r="H11" s="164" t="s">
        <v>468</v>
      </c>
      <c r="I11" s="164"/>
    </row>
    <row r="12" customFormat="false" ht="19.5" hidden="false" customHeight="true" outlineLevel="0" collapsed="false">
      <c r="B12" s="95" t="s">
        <v>469</v>
      </c>
      <c r="C12" s="96" t="s">
        <v>413</v>
      </c>
      <c r="D12" s="165" t="n">
        <v>1</v>
      </c>
      <c r="E12" s="165" t="n">
        <v>2</v>
      </c>
      <c r="F12" s="163" t="n">
        <v>1.5</v>
      </c>
      <c r="G12" s="134" t="s">
        <v>454</v>
      </c>
      <c r="H12" s="166" t="s">
        <v>470</v>
      </c>
      <c r="I12" s="166"/>
    </row>
    <row r="13" customFormat="false" ht="19.5" hidden="false" customHeight="true" outlineLevel="0" collapsed="false">
      <c r="B13" s="98" t="s">
        <v>471</v>
      </c>
      <c r="C13" s="101" t="s">
        <v>413</v>
      </c>
      <c r="D13" s="162" t="n">
        <v>4</v>
      </c>
      <c r="E13" s="162" t="n">
        <v>7</v>
      </c>
      <c r="F13" s="163" t="n">
        <v>5</v>
      </c>
      <c r="G13" s="131" t="s">
        <v>454</v>
      </c>
      <c r="H13" s="164" t="s">
        <v>472</v>
      </c>
      <c r="I13" s="164"/>
    </row>
    <row r="14" customFormat="false" ht="19.5" hidden="false" customHeight="true" outlineLevel="0" collapsed="false">
      <c r="B14" s="95" t="s">
        <v>473</v>
      </c>
      <c r="C14" s="96" t="s">
        <v>474</v>
      </c>
      <c r="D14" s="165" t="n">
        <v>4</v>
      </c>
      <c r="E14" s="165" t="n">
        <v>8</v>
      </c>
      <c r="F14" s="163" t="n">
        <v>6</v>
      </c>
      <c r="G14" s="134" t="s">
        <v>475</v>
      </c>
      <c r="H14" s="166" t="s">
        <v>476</v>
      </c>
      <c r="I14" s="166"/>
    </row>
    <row r="15" customFormat="false" ht="19.5" hidden="false" customHeight="true" outlineLevel="0" collapsed="false">
      <c r="B15" s="98" t="s">
        <v>477</v>
      </c>
      <c r="C15" s="101" t="s">
        <v>478</v>
      </c>
      <c r="D15" s="162" t="n">
        <v>5</v>
      </c>
      <c r="E15" s="162" t="n">
        <v>10</v>
      </c>
      <c r="F15" s="163" t="n">
        <v>7</v>
      </c>
      <c r="G15" s="131" t="s">
        <v>454</v>
      </c>
      <c r="H15" s="164" t="s">
        <v>479</v>
      </c>
      <c r="I15" s="164"/>
    </row>
    <row r="17" customFormat="false" ht="21.75" hidden="false" customHeight="true" outlineLevel="0" collapsed="false">
      <c r="B17" s="50" t="s">
        <v>480</v>
      </c>
      <c r="C17" s="50"/>
      <c r="D17" s="50"/>
      <c r="E17" s="50"/>
      <c r="F17" s="50"/>
      <c r="G17" s="50"/>
      <c r="H17" s="50"/>
      <c r="I17" s="50"/>
    </row>
    <row r="18" customFormat="false" ht="18" hidden="false" customHeight="true" outlineLevel="0" collapsed="false">
      <c r="B18" s="6" t="s">
        <v>448</v>
      </c>
      <c r="C18" s="6" t="s">
        <v>449</v>
      </c>
      <c r="D18" s="6" t="s">
        <v>267</v>
      </c>
      <c r="E18" s="6" t="s">
        <v>277</v>
      </c>
      <c r="F18" s="6" t="s">
        <v>450</v>
      </c>
      <c r="G18" s="6" t="s">
        <v>189</v>
      </c>
      <c r="H18" s="6" t="s">
        <v>451</v>
      </c>
    </row>
    <row r="19" customFormat="false" ht="19.5" hidden="false" customHeight="true" outlineLevel="0" collapsed="false">
      <c r="B19" s="98" t="s">
        <v>481</v>
      </c>
      <c r="C19" s="101" t="s">
        <v>482</v>
      </c>
      <c r="D19" s="162" t="n">
        <v>12</v>
      </c>
      <c r="E19" s="162" t="n">
        <v>18</v>
      </c>
      <c r="F19" s="163" t="n">
        <v>15</v>
      </c>
      <c r="G19" s="131" t="s">
        <v>483</v>
      </c>
      <c r="H19" s="164" t="s">
        <v>484</v>
      </c>
      <c r="I19" s="164"/>
    </row>
    <row r="20" customFormat="false" ht="19.5" hidden="false" customHeight="true" outlineLevel="0" collapsed="false">
      <c r="B20" s="95" t="s">
        <v>485</v>
      </c>
      <c r="C20" s="96" t="s">
        <v>486</v>
      </c>
      <c r="D20" s="165" t="n">
        <v>220</v>
      </c>
      <c r="E20" s="165" t="n">
        <v>380</v>
      </c>
      <c r="F20" s="163" t="n">
        <v>300</v>
      </c>
      <c r="G20" s="134" t="s">
        <v>454</v>
      </c>
      <c r="H20" s="166" t="s">
        <v>487</v>
      </c>
      <c r="I20" s="166"/>
    </row>
    <row r="21" customFormat="false" ht="19.5" hidden="false" customHeight="true" outlineLevel="0" collapsed="false">
      <c r="B21" s="98" t="s">
        <v>488</v>
      </c>
      <c r="C21" s="101" t="s">
        <v>486</v>
      </c>
      <c r="D21" s="162" t="n">
        <v>180</v>
      </c>
      <c r="E21" s="162" t="n">
        <v>320</v>
      </c>
      <c r="F21" s="163" t="n">
        <v>250</v>
      </c>
      <c r="G21" s="131" t="s">
        <v>454</v>
      </c>
      <c r="H21" s="164" t="s">
        <v>489</v>
      </c>
      <c r="I21" s="164"/>
    </row>
    <row r="22" customFormat="false" ht="19.5" hidden="false" customHeight="true" outlineLevel="0" collapsed="false">
      <c r="B22" s="95" t="s">
        <v>490</v>
      </c>
      <c r="C22" s="96" t="s">
        <v>486</v>
      </c>
      <c r="D22" s="165" t="n">
        <v>200</v>
      </c>
      <c r="E22" s="165" t="n">
        <v>360</v>
      </c>
      <c r="F22" s="163" t="n">
        <v>280</v>
      </c>
      <c r="G22" s="134" t="s">
        <v>454</v>
      </c>
      <c r="H22" s="166" t="s">
        <v>491</v>
      </c>
      <c r="I22" s="166"/>
    </row>
    <row r="23" customFormat="false" ht="19.5" hidden="false" customHeight="true" outlineLevel="0" collapsed="false">
      <c r="B23" s="98" t="s">
        <v>492</v>
      </c>
      <c r="C23" s="101" t="s">
        <v>403</v>
      </c>
      <c r="D23" s="162" t="n">
        <v>15</v>
      </c>
      <c r="E23" s="162" t="n">
        <v>25</v>
      </c>
      <c r="F23" s="163" t="n">
        <v>20</v>
      </c>
      <c r="G23" s="131" t="s">
        <v>483</v>
      </c>
      <c r="H23" s="164" t="s">
        <v>493</v>
      </c>
      <c r="I23" s="164"/>
    </row>
    <row r="24" customFormat="false" ht="19.5" hidden="false" customHeight="true" outlineLevel="0" collapsed="false">
      <c r="B24" s="95" t="s">
        <v>494</v>
      </c>
      <c r="C24" s="96" t="s">
        <v>307</v>
      </c>
      <c r="D24" s="165" t="n">
        <v>8</v>
      </c>
      <c r="E24" s="165" t="n">
        <v>15</v>
      </c>
      <c r="F24" s="163" t="n">
        <v>12</v>
      </c>
      <c r="G24" s="134" t="s">
        <v>483</v>
      </c>
      <c r="H24" s="166" t="s">
        <v>495</v>
      </c>
      <c r="I24" s="166"/>
    </row>
    <row r="25" customFormat="false" ht="19.5" hidden="false" customHeight="true" outlineLevel="0" collapsed="false">
      <c r="B25" s="98" t="s">
        <v>496</v>
      </c>
      <c r="C25" s="101" t="s">
        <v>497</v>
      </c>
      <c r="D25" s="162" t="n">
        <v>15</v>
      </c>
      <c r="E25" s="162" t="n">
        <v>22</v>
      </c>
      <c r="F25" s="163" t="n">
        <v>18</v>
      </c>
      <c r="G25" s="131" t="s">
        <v>483</v>
      </c>
      <c r="H25" s="164" t="s">
        <v>498</v>
      </c>
      <c r="I25" s="164"/>
    </row>
    <row r="26" customFormat="false" ht="19.5" hidden="false" customHeight="true" outlineLevel="0" collapsed="false">
      <c r="B26" s="95" t="s">
        <v>499</v>
      </c>
      <c r="C26" s="96" t="s">
        <v>500</v>
      </c>
      <c r="D26" s="165" t="n">
        <v>6</v>
      </c>
      <c r="E26" s="165" t="n">
        <v>12</v>
      </c>
      <c r="F26" s="163" t="n">
        <v>8</v>
      </c>
      <c r="G26" s="134" t="s">
        <v>483</v>
      </c>
      <c r="H26" s="166" t="s">
        <v>501</v>
      </c>
      <c r="I26" s="166"/>
    </row>
    <row r="27" customFormat="false" ht="19.5" hidden="false" customHeight="true" outlineLevel="0" collapsed="false">
      <c r="B27" s="98" t="s">
        <v>502</v>
      </c>
      <c r="C27" s="101" t="s">
        <v>418</v>
      </c>
      <c r="D27" s="162" t="n">
        <v>15</v>
      </c>
      <c r="E27" s="162" t="n">
        <v>25</v>
      </c>
      <c r="F27" s="163" t="n">
        <v>20</v>
      </c>
      <c r="G27" s="131" t="s">
        <v>454</v>
      </c>
      <c r="H27" s="164" t="s">
        <v>503</v>
      </c>
      <c r="I27" s="164"/>
    </row>
    <row r="28" customFormat="false" ht="19.5" hidden="false" customHeight="true" outlineLevel="0" collapsed="false">
      <c r="B28" s="95" t="s">
        <v>504</v>
      </c>
      <c r="C28" s="96" t="s">
        <v>486</v>
      </c>
      <c r="D28" s="165" t="n">
        <v>140</v>
      </c>
      <c r="E28" s="165" t="n">
        <v>240</v>
      </c>
      <c r="F28" s="163" t="n">
        <v>190</v>
      </c>
      <c r="G28" s="134" t="s">
        <v>454</v>
      </c>
      <c r="H28" s="166" t="s">
        <v>505</v>
      </c>
      <c r="I28" s="166"/>
    </row>
    <row r="30" customFormat="false" ht="21.75" hidden="false" customHeight="true" outlineLevel="0" collapsed="false">
      <c r="B30" s="50" t="s">
        <v>506</v>
      </c>
      <c r="C30" s="50"/>
      <c r="D30" s="50"/>
      <c r="E30" s="50"/>
      <c r="F30" s="50"/>
      <c r="G30" s="50"/>
      <c r="H30" s="50"/>
      <c r="I30" s="50"/>
    </row>
    <row r="31" customFormat="false" ht="18" hidden="false" customHeight="true" outlineLevel="0" collapsed="false">
      <c r="B31" s="6" t="s">
        <v>448</v>
      </c>
      <c r="C31" s="6" t="s">
        <v>449</v>
      </c>
      <c r="D31" s="6" t="s">
        <v>267</v>
      </c>
      <c r="E31" s="6" t="s">
        <v>277</v>
      </c>
      <c r="F31" s="6" t="s">
        <v>450</v>
      </c>
      <c r="G31" s="6" t="s">
        <v>189</v>
      </c>
      <c r="H31" s="6" t="s">
        <v>451</v>
      </c>
    </row>
    <row r="32" customFormat="false" ht="19.5" hidden="false" customHeight="true" outlineLevel="0" collapsed="false">
      <c r="B32" s="98" t="s">
        <v>507</v>
      </c>
      <c r="C32" s="101" t="s">
        <v>508</v>
      </c>
      <c r="D32" s="162" t="n">
        <v>10</v>
      </c>
      <c r="E32" s="162" t="n">
        <v>14</v>
      </c>
      <c r="F32" s="163" t="n">
        <v>12</v>
      </c>
      <c r="G32" s="131" t="s">
        <v>509</v>
      </c>
      <c r="H32" s="164" t="s">
        <v>510</v>
      </c>
      <c r="I32" s="164"/>
    </row>
    <row r="33" customFormat="false" ht="19.5" hidden="false" customHeight="true" outlineLevel="0" collapsed="false">
      <c r="B33" s="95" t="s">
        <v>511</v>
      </c>
      <c r="C33" s="96" t="s">
        <v>508</v>
      </c>
      <c r="D33" s="165" t="n">
        <v>18</v>
      </c>
      <c r="E33" s="165" t="n">
        <v>30</v>
      </c>
      <c r="F33" s="163" t="n">
        <v>22</v>
      </c>
      <c r="G33" s="134" t="s">
        <v>509</v>
      </c>
      <c r="H33" s="166" t="s">
        <v>512</v>
      </c>
      <c r="I33" s="166"/>
    </row>
    <row r="34" customFormat="false" ht="19.5" hidden="false" customHeight="true" outlineLevel="0" collapsed="false">
      <c r="B34" s="98" t="s">
        <v>513</v>
      </c>
      <c r="C34" s="101" t="s">
        <v>514</v>
      </c>
      <c r="D34" s="162" t="n">
        <v>20</v>
      </c>
      <c r="E34" s="162" t="n">
        <v>30</v>
      </c>
      <c r="F34" s="163" t="n">
        <v>25</v>
      </c>
      <c r="G34" s="131" t="s">
        <v>515</v>
      </c>
      <c r="H34" s="164" t="s">
        <v>516</v>
      </c>
      <c r="I34" s="164"/>
    </row>
    <row r="35" customFormat="false" ht="19.5" hidden="false" customHeight="true" outlineLevel="0" collapsed="false">
      <c r="B35" s="95" t="s">
        <v>517</v>
      </c>
      <c r="C35" s="96" t="s">
        <v>518</v>
      </c>
      <c r="D35" s="165" t="n">
        <v>10</v>
      </c>
      <c r="E35" s="165" t="n">
        <v>40</v>
      </c>
      <c r="F35" s="163" t="n">
        <v>20</v>
      </c>
      <c r="G35" s="134" t="s">
        <v>519</v>
      </c>
      <c r="H35" s="166" t="s">
        <v>520</v>
      </c>
      <c r="I35" s="166"/>
    </row>
    <row r="36" customFormat="false" ht="19.5" hidden="false" customHeight="true" outlineLevel="0" collapsed="false">
      <c r="B36" s="98" t="s">
        <v>521</v>
      </c>
      <c r="C36" s="101" t="s">
        <v>403</v>
      </c>
      <c r="D36" s="162" t="n">
        <v>20</v>
      </c>
      <c r="E36" s="162" t="n">
        <v>40</v>
      </c>
      <c r="F36" s="163" t="n">
        <v>30</v>
      </c>
      <c r="G36" s="131" t="s">
        <v>519</v>
      </c>
      <c r="H36" s="164" t="s">
        <v>522</v>
      </c>
      <c r="I36" s="164"/>
    </row>
    <row r="37" customFormat="false" ht="19.5" hidden="false" customHeight="true" outlineLevel="0" collapsed="false">
      <c r="B37" s="95" t="s">
        <v>523</v>
      </c>
      <c r="C37" s="96" t="s">
        <v>403</v>
      </c>
      <c r="D37" s="165" t="n">
        <v>50</v>
      </c>
      <c r="E37" s="165" t="n">
        <v>150</v>
      </c>
      <c r="F37" s="163" t="n">
        <v>80</v>
      </c>
      <c r="G37" s="134" t="s">
        <v>519</v>
      </c>
      <c r="H37" s="166" t="s">
        <v>524</v>
      </c>
      <c r="I37" s="166"/>
    </row>
    <row r="38" customFormat="false" ht="19.5" hidden="false" customHeight="true" outlineLevel="0" collapsed="false">
      <c r="B38" s="98" t="s">
        <v>525</v>
      </c>
      <c r="C38" s="101" t="s">
        <v>497</v>
      </c>
      <c r="D38" s="162" t="n">
        <v>2</v>
      </c>
      <c r="E38" s="162" t="n">
        <v>3</v>
      </c>
      <c r="F38" s="163" t="n">
        <v>2.5</v>
      </c>
      <c r="G38" s="131" t="s">
        <v>526</v>
      </c>
      <c r="H38" s="164" t="s">
        <v>527</v>
      </c>
      <c r="I38" s="164"/>
    </row>
    <row r="39" customFormat="false" ht="19.5" hidden="false" customHeight="true" outlineLevel="0" collapsed="false">
      <c r="B39" s="95" t="s">
        <v>528</v>
      </c>
      <c r="C39" s="96" t="s">
        <v>497</v>
      </c>
      <c r="D39" s="165" t="n">
        <v>3</v>
      </c>
      <c r="E39" s="165" t="n">
        <v>6</v>
      </c>
      <c r="F39" s="163" t="n">
        <v>4</v>
      </c>
      <c r="G39" s="134" t="s">
        <v>529</v>
      </c>
      <c r="H39" s="166" t="s">
        <v>530</v>
      </c>
      <c r="I39" s="166"/>
    </row>
    <row r="40" customFormat="false" ht="19.5" hidden="false" customHeight="true" outlineLevel="0" collapsed="false">
      <c r="B40" s="98" t="s">
        <v>531</v>
      </c>
      <c r="C40" s="101" t="s">
        <v>532</v>
      </c>
      <c r="D40" s="162" t="n">
        <v>1</v>
      </c>
      <c r="E40" s="162" t="n">
        <v>3</v>
      </c>
      <c r="F40" s="163" t="n">
        <v>2</v>
      </c>
      <c r="G40" s="131" t="s">
        <v>533</v>
      </c>
      <c r="H40" s="164" t="s">
        <v>534</v>
      </c>
      <c r="I40" s="164"/>
    </row>
    <row r="41" customFormat="false" ht="19.5" hidden="false" customHeight="true" outlineLevel="0" collapsed="false">
      <c r="B41" s="95" t="s">
        <v>535</v>
      </c>
      <c r="C41" s="96" t="s">
        <v>478</v>
      </c>
      <c r="D41" s="165" t="n">
        <v>4</v>
      </c>
      <c r="E41" s="165" t="n">
        <v>8</v>
      </c>
      <c r="F41" s="163" t="n">
        <v>6</v>
      </c>
      <c r="G41" s="134" t="s">
        <v>529</v>
      </c>
      <c r="H41" s="166" t="s">
        <v>536</v>
      </c>
      <c r="I41" s="166"/>
    </row>
    <row r="42" customFormat="false" ht="19.5" hidden="false" customHeight="true" outlineLevel="0" collapsed="false">
      <c r="B42" s="98" t="s">
        <v>537</v>
      </c>
      <c r="C42" s="101" t="s">
        <v>538</v>
      </c>
      <c r="D42" s="162" t="n">
        <v>120</v>
      </c>
      <c r="E42" s="162" t="n">
        <v>180</v>
      </c>
      <c r="F42" s="163" t="n">
        <v>150</v>
      </c>
      <c r="G42" s="131" t="s">
        <v>539</v>
      </c>
      <c r="H42" s="164" t="s">
        <v>540</v>
      </c>
      <c r="I42" s="164"/>
    </row>
    <row r="44" customFormat="false" ht="21.75" hidden="false" customHeight="true" outlineLevel="0" collapsed="false">
      <c r="B44" s="50" t="s">
        <v>541</v>
      </c>
      <c r="C44" s="50"/>
      <c r="D44" s="50"/>
      <c r="E44" s="50"/>
      <c r="F44" s="50"/>
      <c r="G44" s="50"/>
      <c r="H44" s="50"/>
      <c r="I44" s="50"/>
    </row>
    <row r="45" customFormat="false" ht="18" hidden="false" customHeight="true" outlineLevel="0" collapsed="false">
      <c r="B45" s="6" t="s">
        <v>448</v>
      </c>
      <c r="C45" s="6" t="s">
        <v>449</v>
      </c>
      <c r="D45" s="6" t="s">
        <v>267</v>
      </c>
      <c r="E45" s="6" t="s">
        <v>277</v>
      </c>
      <c r="F45" s="6" t="s">
        <v>450</v>
      </c>
      <c r="G45" s="6" t="s">
        <v>189</v>
      </c>
      <c r="H45" s="6" t="s">
        <v>451</v>
      </c>
    </row>
    <row r="46" customFormat="false" ht="19.5" hidden="false" customHeight="true" outlineLevel="0" collapsed="false">
      <c r="B46" s="98" t="s">
        <v>542</v>
      </c>
      <c r="C46" s="101" t="s">
        <v>543</v>
      </c>
      <c r="D46" s="162" t="n">
        <v>3</v>
      </c>
      <c r="E46" s="162" t="n">
        <v>6</v>
      </c>
      <c r="F46" s="163" t="n">
        <v>4</v>
      </c>
      <c r="G46" s="131" t="s">
        <v>544</v>
      </c>
      <c r="H46" s="164" t="s">
        <v>545</v>
      </c>
      <c r="I46" s="164"/>
    </row>
    <row r="47" customFormat="false" ht="19.5" hidden="false" customHeight="true" outlineLevel="0" collapsed="false">
      <c r="B47" s="95" t="s">
        <v>546</v>
      </c>
      <c r="C47" s="96" t="s">
        <v>547</v>
      </c>
      <c r="D47" s="165" t="n">
        <v>5</v>
      </c>
      <c r="E47" s="165" t="n">
        <v>12</v>
      </c>
      <c r="F47" s="163" t="n">
        <v>8</v>
      </c>
      <c r="G47" s="134" t="s">
        <v>454</v>
      </c>
      <c r="H47" s="166" t="s">
        <v>548</v>
      </c>
      <c r="I47" s="166"/>
    </row>
    <row r="48" customFormat="false" ht="19.5" hidden="false" customHeight="true" outlineLevel="0" collapsed="false">
      <c r="B48" s="98" t="s">
        <v>549</v>
      </c>
      <c r="C48" s="101" t="s">
        <v>413</v>
      </c>
      <c r="D48" s="162" t="n">
        <v>6</v>
      </c>
      <c r="E48" s="162" t="n">
        <v>16</v>
      </c>
      <c r="F48" s="163" t="n">
        <v>10</v>
      </c>
      <c r="G48" s="131" t="s">
        <v>475</v>
      </c>
      <c r="H48" s="164" t="s">
        <v>550</v>
      </c>
      <c r="I48" s="164"/>
    </row>
    <row r="49" customFormat="false" ht="19.5" hidden="false" customHeight="true" outlineLevel="0" collapsed="false">
      <c r="B49" s="95" t="s">
        <v>551</v>
      </c>
      <c r="C49" s="96" t="s">
        <v>403</v>
      </c>
      <c r="D49" s="165" t="n">
        <v>3</v>
      </c>
      <c r="E49" s="165" t="n">
        <v>8</v>
      </c>
      <c r="F49" s="163" t="n">
        <v>5</v>
      </c>
      <c r="G49" s="134" t="s">
        <v>454</v>
      </c>
      <c r="H49" s="166" t="s">
        <v>552</v>
      </c>
      <c r="I49" s="166"/>
    </row>
    <row r="50" customFormat="false" ht="19.5" hidden="false" customHeight="true" outlineLevel="0" collapsed="false">
      <c r="B50" s="98" t="s">
        <v>553</v>
      </c>
      <c r="C50" s="101" t="s">
        <v>497</v>
      </c>
      <c r="D50" s="162" t="n">
        <v>0.5</v>
      </c>
      <c r="E50" s="162" t="n">
        <v>2</v>
      </c>
      <c r="F50" s="163" t="n">
        <v>1</v>
      </c>
      <c r="G50" s="131" t="s">
        <v>475</v>
      </c>
      <c r="H50" s="164" t="s">
        <v>554</v>
      </c>
      <c r="I50" s="164"/>
    </row>
    <row r="51" customFormat="false" ht="19.5" hidden="false" customHeight="true" outlineLevel="0" collapsed="false">
      <c r="B51" s="95" t="s">
        <v>555</v>
      </c>
      <c r="C51" s="96" t="s">
        <v>497</v>
      </c>
      <c r="D51" s="165" t="n">
        <v>0.25</v>
      </c>
      <c r="E51" s="165" t="n">
        <v>1</v>
      </c>
      <c r="F51" s="163" t="n">
        <v>0.5</v>
      </c>
      <c r="G51" s="134" t="s">
        <v>475</v>
      </c>
      <c r="H51" s="166" t="s">
        <v>556</v>
      </c>
      <c r="I51" s="166"/>
    </row>
    <row r="52" customFormat="false" ht="19.5" hidden="false" customHeight="true" outlineLevel="0" collapsed="false">
      <c r="B52" s="98" t="s">
        <v>557</v>
      </c>
      <c r="C52" s="101" t="s">
        <v>474</v>
      </c>
      <c r="D52" s="162" t="n">
        <v>20</v>
      </c>
      <c r="E52" s="162" t="n">
        <v>40</v>
      </c>
      <c r="F52" s="163" t="n">
        <v>30</v>
      </c>
      <c r="G52" s="131" t="s">
        <v>475</v>
      </c>
      <c r="H52" s="164" t="s">
        <v>558</v>
      </c>
      <c r="I52" s="164"/>
    </row>
    <row r="53" customFormat="false" ht="19.5" hidden="false" customHeight="true" outlineLevel="0" collapsed="false">
      <c r="B53" s="95" t="s">
        <v>559</v>
      </c>
      <c r="C53" s="96" t="s">
        <v>560</v>
      </c>
      <c r="D53" s="165" t="n">
        <v>3</v>
      </c>
      <c r="E53" s="165" t="n">
        <v>5</v>
      </c>
      <c r="F53" s="163" t="n">
        <v>4</v>
      </c>
      <c r="G53" s="134" t="s">
        <v>454</v>
      </c>
      <c r="H53" s="166" t="s">
        <v>561</v>
      </c>
      <c r="I53" s="166"/>
    </row>
  </sheetData>
  <mergeCells count="45">
    <mergeCell ref="B1:I1"/>
    <mergeCell ref="B3:I3"/>
    <mergeCell ref="H5:I5"/>
    <mergeCell ref="H6:I6"/>
    <mergeCell ref="H7:I7"/>
    <mergeCell ref="H8:I8"/>
    <mergeCell ref="H9:I9"/>
    <mergeCell ref="H10:I10"/>
    <mergeCell ref="H11:I11"/>
    <mergeCell ref="H12:I12"/>
    <mergeCell ref="H13:I13"/>
    <mergeCell ref="H14:I14"/>
    <mergeCell ref="H15:I15"/>
    <mergeCell ref="B17:I17"/>
    <mergeCell ref="H19:I19"/>
    <mergeCell ref="H20:I20"/>
    <mergeCell ref="H21:I21"/>
    <mergeCell ref="H22:I22"/>
    <mergeCell ref="H23:I23"/>
    <mergeCell ref="H24:I24"/>
    <mergeCell ref="H25:I25"/>
    <mergeCell ref="H26:I26"/>
    <mergeCell ref="H27:I27"/>
    <mergeCell ref="H28:I28"/>
    <mergeCell ref="B30:I30"/>
    <mergeCell ref="H32:I32"/>
    <mergeCell ref="H33:I33"/>
    <mergeCell ref="H34:I34"/>
    <mergeCell ref="H35:I35"/>
    <mergeCell ref="H36:I36"/>
    <mergeCell ref="H37:I37"/>
    <mergeCell ref="H38:I38"/>
    <mergeCell ref="H39:I39"/>
    <mergeCell ref="H40:I40"/>
    <mergeCell ref="H41:I41"/>
    <mergeCell ref="H42:I42"/>
    <mergeCell ref="B44:I44"/>
    <mergeCell ref="H46:I46"/>
    <mergeCell ref="H47:I47"/>
    <mergeCell ref="H48:I48"/>
    <mergeCell ref="H49:I49"/>
    <mergeCell ref="H50:I50"/>
    <mergeCell ref="H51:I51"/>
    <mergeCell ref="H52:I52"/>
    <mergeCell ref="H53:I5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10" min="3" style="1" width="14"/>
  </cols>
  <sheetData>
    <row r="1" customFormat="false" ht="36" hidden="false" customHeight="true" outlineLevel="0" collapsed="false">
      <c r="B1" s="91" t="s">
        <v>562</v>
      </c>
      <c r="C1" s="91"/>
      <c r="D1" s="91"/>
      <c r="E1" s="91"/>
      <c r="F1" s="91"/>
      <c r="G1" s="91"/>
      <c r="H1" s="91"/>
      <c r="I1" s="91"/>
      <c r="J1" s="91"/>
    </row>
    <row r="3" customFormat="false" ht="15" hidden="false" customHeight="true" outlineLevel="0" collapsed="false">
      <c r="B3" s="167" t="s">
        <v>563</v>
      </c>
      <c r="C3" s="167"/>
      <c r="D3" s="167"/>
      <c r="E3" s="167"/>
      <c r="F3" s="167"/>
      <c r="G3" s="167"/>
      <c r="H3" s="167"/>
      <c r="I3" s="167"/>
      <c r="J3" s="167"/>
    </row>
    <row r="4" customFormat="false" ht="36" hidden="false" customHeight="true" outlineLevel="0" collapsed="false">
      <c r="B4" s="168" t="s">
        <v>318</v>
      </c>
      <c r="C4" s="168" t="s">
        <v>330</v>
      </c>
      <c r="D4" s="168" t="s">
        <v>564</v>
      </c>
      <c r="E4" s="168" t="s">
        <v>565</v>
      </c>
      <c r="F4" s="168" t="s">
        <v>566</v>
      </c>
      <c r="G4" s="168" t="s">
        <v>567</v>
      </c>
      <c r="H4" s="168" t="s">
        <v>568</v>
      </c>
      <c r="I4" s="168" t="s">
        <v>569</v>
      </c>
      <c r="J4" s="168" t="s">
        <v>570</v>
      </c>
    </row>
    <row r="5" customFormat="false" ht="21.75" hidden="false" customHeight="true" outlineLevel="0" collapsed="false">
      <c r="B5" s="75" t="s">
        <v>349</v>
      </c>
      <c r="C5" s="169" t="n">
        <v>24</v>
      </c>
      <c r="D5" s="170" t="n">
        <f aca="false">C5*1.15</f>
        <v>27.6</v>
      </c>
      <c r="E5" s="171" t="n">
        <f aca="false">D5*Assumptions!C13/100</f>
        <v>4.692</v>
      </c>
      <c r="F5" s="172" t="n">
        <f aca="false">D5+E5</f>
        <v>32.292</v>
      </c>
    </row>
    <row r="6" customFormat="false" ht="21.75" hidden="false" customHeight="true" outlineLevel="0" collapsed="false">
      <c r="B6" s="76" t="s">
        <v>361</v>
      </c>
      <c r="C6" s="169" t="n">
        <v>24</v>
      </c>
      <c r="D6" s="170" t="n">
        <f aca="false">C6*1.15</f>
        <v>27.6</v>
      </c>
      <c r="E6" s="171" t="n">
        <f aca="false">D6*Assumptions!C13/100</f>
        <v>4.692</v>
      </c>
      <c r="F6" s="172" t="n">
        <f aca="false">D6+E6</f>
        <v>32.292</v>
      </c>
    </row>
    <row r="7" customFormat="false" ht="21.75" hidden="false" customHeight="true" outlineLevel="0" collapsed="false">
      <c r="B7" s="75" t="s">
        <v>365</v>
      </c>
      <c r="C7" s="169" t="n">
        <v>24</v>
      </c>
      <c r="D7" s="170" t="n">
        <f aca="false">C7*1.15</f>
        <v>27.6</v>
      </c>
      <c r="E7" s="171" t="n">
        <f aca="false">D7*Assumptions!C13/100</f>
        <v>4.692</v>
      </c>
      <c r="F7" s="172" t="n">
        <f aca="false">D7+E7</f>
        <v>32.292</v>
      </c>
    </row>
    <row r="8" customFormat="false" ht="21.75" hidden="false" customHeight="true" outlineLevel="0" collapsed="false">
      <c r="B8" s="76" t="s">
        <v>369</v>
      </c>
      <c r="C8" s="169" t="n">
        <v>12</v>
      </c>
      <c r="D8" s="170" t="n">
        <f aca="false">C8*1.15</f>
        <v>13.8</v>
      </c>
      <c r="E8" s="171" t="n">
        <f aca="false">D8*Assumptions!C13/100</f>
        <v>2.346</v>
      </c>
      <c r="F8" s="172" t="n">
        <f aca="false">D8+E8</f>
        <v>16.146</v>
      </c>
    </row>
    <row r="9" customFormat="false" ht="21.75" hidden="false" customHeight="true" outlineLevel="0" collapsed="false">
      <c r="B9" s="75" t="s">
        <v>371</v>
      </c>
      <c r="C9" s="169" t="n">
        <v>96</v>
      </c>
      <c r="D9" s="170" t="n">
        <f aca="false">C9*1.15</f>
        <v>110.4</v>
      </c>
      <c r="E9" s="171" t="n">
        <f aca="false">D9*Assumptions!C13/100</f>
        <v>18.768</v>
      </c>
      <c r="F9" s="172" t="n">
        <f aca="false">D9+E9</f>
        <v>129.168</v>
      </c>
    </row>
    <row r="10" customFormat="false" ht="21.75" hidden="false" customHeight="true" outlineLevel="0" collapsed="false">
      <c r="B10" s="76" t="s">
        <v>379</v>
      </c>
      <c r="C10" s="169" t="n">
        <v>24</v>
      </c>
      <c r="D10" s="170" t="n">
        <f aca="false">C10*1.15</f>
        <v>27.6</v>
      </c>
      <c r="E10" s="171" t="n">
        <f aca="false">D10*Assumptions!C13/100</f>
        <v>4.692</v>
      </c>
      <c r="F10" s="172" t="n">
        <f aca="false">D10+E10</f>
        <v>32.292</v>
      </c>
    </row>
    <row r="11" customFormat="false" ht="21.75" hidden="false" customHeight="true" outlineLevel="0" collapsed="false">
      <c r="B11" s="75" t="s">
        <v>383</v>
      </c>
      <c r="C11" s="169" t="n">
        <v>84</v>
      </c>
      <c r="D11" s="170" t="n">
        <f aca="false">C11*1.15</f>
        <v>96.6</v>
      </c>
      <c r="E11" s="171" t="n">
        <f aca="false">D11*Assumptions!C13/100</f>
        <v>16.422</v>
      </c>
      <c r="F11" s="172" t="n">
        <f aca="false">D11+E11</f>
        <v>113.022</v>
      </c>
    </row>
    <row r="12" customFormat="false" ht="21.75" hidden="false" customHeight="true" outlineLevel="0" collapsed="false">
      <c r="B12" s="76" t="s">
        <v>391</v>
      </c>
      <c r="C12" s="169" t="n">
        <v>24</v>
      </c>
      <c r="D12" s="170" t="n">
        <f aca="false">C12*1.15</f>
        <v>27.6</v>
      </c>
      <c r="E12" s="171" t="n">
        <f aca="false">D12*Assumptions!C13/100</f>
        <v>4.692</v>
      </c>
      <c r="F12" s="172" t="n">
        <f aca="false">D12+E12</f>
        <v>32.292</v>
      </c>
    </row>
    <row r="13" customFormat="false" ht="21.75" hidden="false" customHeight="true" outlineLevel="0" collapsed="false">
      <c r="B13" s="75" t="s">
        <v>394</v>
      </c>
      <c r="C13" s="169" t="n">
        <v>10</v>
      </c>
      <c r="D13" s="170" t="n">
        <f aca="false">C13*1.15</f>
        <v>11.5</v>
      </c>
      <c r="E13" s="171" t="n">
        <f aca="false">D13*Assumptions!C13/100</f>
        <v>1.955</v>
      </c>
      <c r="F13" s="172" t="n">
        <f aca="false">D13+E13</f>
        <v>13.455</v>
      </c>
    </row>
    <row r="14" customFormat="false" ht="21.75" hidden="false" customHeight="true" outlineLevel="0" collapsed="false">
      <c r="B14" s="76" t="s">
        <v>396</v>
      </c>
      <c r="C14" s="169" t="n">
        <v>12</v>
      </c>
      <c r="D14" s="170" t="n">
        <f aca="false">C14*1.15</f>
        <v>13.8</v>
      </c>
      <c r="E14" s="171" t="n">
        <f aca="false">D14*Assumptions!C13/100</f>
        <v>2.346</v>
      </c>
      <c r="F14" s="172" t="n">
        <f aca="false">D14+E14</f>
        <v>16.146</v>
      </c>
    </row>
    <row r="15" customFormat="false" ht="21.75" hidden="false" customHeight="true" outlineLevel="0" collapsed="false">
      <c r="B15" s="75" t="s">
        <v>398</v>
      </c>
      <c r="C15" s="169" t="n">
        <v>80</v>
      </c>
      <c r="D15" s="170" t="n">
        <f aca="false">C15*1.15</f>
        <v>92</v>
      </c>
      <c r="E15" s="171" t="n">
        <f aca="false">D15*Assumptions!C13/100</f>
        <v>15.64</v>
      </c>
      <c r="F15" s="172" t="n">
        <f aca="false">D15+E15</f>
        <v>107.64</v>
      </c>
    </row>
    <row r="16" customFormat="false" ht="21.75" hidden="false" customHeight="true" outlineLevel="0" collapsed="false">
      <c r="B16" s="76" t="s">
        <v>403</v>
      </c>
      <c r="C16" s="169" t="n">
        <v>32</v>
      </c>
      <c r="D16" s="170" t="n">
        <f aca="false">C16*1.15</f>
        <v>36.8</v>
      </c>
      <c r="E16" s="171" t="n">
        <f aca="false">D16*Assumptions!C13/100</f>
        <v>6.256</v>
      </c>
      <c r="F16" s="172" t="n">
        <f aca="false">D16+E16</f>
        <v>43.056</v>
      </c>
    </row>
    <row r="17" customFormat="false" ht="21.75" hidden="false" customHeight="true" outlineLevel="0" collapsed="false">
      <c r="B17" s="75" t="s">
        <v>307</v>
      </c>
      <c r="C17" s="169" t="n">
        <v>60</v>
      </c>
      <c r="D17" s="170" t="n">
        <f aca="false">C17*1.15</f>
        <v>69</v>
      </c>
      <c r="E17" s="171" t="n">
        <f aca="false">D17*Assumptions!C13/100</f>
        <v>11.73</v>
      </c>
      <c r="F17" s="172" t="n">
        <f aca="false">D17+E17</f>
        <v>80.73</v>
      </c>
    </row>
    <row r="18" customFormat="false" ht="21.75" hidden="false" customHeight="true" outlineLevel="0" collapsed="false">
      <c r="B18" s="76" t="s">
        <v>413</v>
      </c>
      <c r="C18" s="169" t="n">
        <v>20</v>
      </c>
      <c r="D18" s="170" t="n">
        <f aca="false">C18*1.15</f>
        <v>23</v>
      </c>
      <c r="E18" s="171" t="n">
        <f aca="false">D18*Assumptions!C13/100</f>
        <v>3.91</v>
      </c>
      <c r="F18" s="172" t="n">
        <f aca="false">D18+E18</f>
        <v>26.91</v>
      </c>
    </row>
    <row r="19" customFormat="false" ht="21.75" hidden="false" customHeight="true" outlineLevel="0" collapsed="false">
      <c r="B19" s="75" t="s">
        <v>418</v>
      </c>
      <c r="C19" s="169" t="n">
        <v>45</v>
      </c>
      <c r="D19" s="170" t="n">
        <f aca="false">C19*1.15</f>
        <v>51.75</v>
      </c>
      <c r="E19" s="171" t="n">
        <f aca="false">D19*Assumptions!C13/100</f>
        <v>8.7975</v>
      </c>
      <c r="F19" s="172" t="n">
        <f aca="false">D19+E19</f>
        <v>60.5475</v>
      </c>
    </row>
    <row r="20" customFormat="false" ht="21.75" hidden="false" customHeight="true" outlineLevel="0" collapsed="false">
      <c r="B20" s="76" t="s">
        <v>422</v>
      </c>
      <c r="C20" s="169" t="n">
        <v>100</v>
      </c>
      <c r="D20" s="170" t="n">
        <f aca="false">C20*1.15</f>
        <v>115</v>
      </c>
      <c r="E20" s="171" t="n">
        <f aca="false">D20*Assumptions!C13/100</f>
        <v>19.55</v>
      </c>
      <c r="F20" s="172" t="n">
        <f aca="false">D20+E20</f>
        <v>134.55</v>
      </c>
    </row>
    <row r="21" customFormat="false" ht="21.75" hidden="false" customHeight="true" outlineLevel="0" collapsed="false">
      <c r="B21" s="75" t="s">
        <v>429</v>
      </c>
      <c r="C21" s="169" t="n">
        <v>75</v>
      </c>
      <c r="D21" s="170" t="n">
        <f aca="false">C21*1.15</f>
        <v>86.25</v>
      </c>
      <c r="E21" s="171" t="n">
        <f aca="false">D21*Assumptions!C13/100</f>
        <v>14.6625</v>
      </c>
      <c r="F21" s="172" t="n">
        <f aca="false">D21+E21</f>
        <v>100.9125</v>
      </c>
    </row>
    <row r="22" customFormat="false" ht="21.75" hidden="false" customHeight="true" outlineLevel="0" collapsed="false">
      <c r="B22" s="76" t="s">
        <v>435</v>
      </c>
      <c r="C22" s="169" t="n">
        <v>48</v>
      </c>
      <c r="D22" s="170" t="n">
        <f aca="false">C22*1.15</f>
        <v>55.2</v>
      </c>
      <c r="E22" s="171" t="n">
        <f aca="false">D22*Assumptions!C13/100</f>
        <v>9.384</v>
      </c>
      <c r="F22" s="172" t="n">
        <f aca="false">D22+E22</f>
        <v>64.584</v>
      </c>
    </row>
    <row r="23" customFormat="false" ht="25.5" hidden="false" customHeight="true" outlineLevel="0" collapsed="false">
      <c r="B23" s="173" t="s">
        <v>571</v>
      </c>
      <c r="C23" s="174" t="n">
        <f aca="false">SUM(C5:C22)</f>
        <v>794</v>
      </c>
      <c r="D23" s="174" t="n">
        <f aca="false">SUM(D5:D22)</f>
        <v>913.1</v>
      </c>
      <c r="E23" s="174" t="n">
        <f aca="false">SUM(E5:E22)</f>
        <v>155.227</v>
      </c>
      <c r="F23" s="174" t="n">
        <f aca="false">SUM(F5:F22)</f>
        <v>1068.327</v>
      </c>
    </row>
    <row r="25" customFormat="false" ht="15" hidden="false" customHeight="true" outlineLevel="0" collapsed="false">
      <c r="B25" s="167" t="s">
        <v>572</v>
      </c>
      <c r="C25" s="167"/>
      <c r="D25" s="167"/>
      <c r="E25" s="167"/>
      <c r="F25" s="167"/>
      <c r="G25" s="167"/>
      <c r="H25" s="167"/>
      <c r="I25" s="167"/>
      <c r="J25" s="167"/>
    </row>
    <row r="26" customFormat="false" ht="15" hidden="false" customHeight="true" outlineLevel="0" collapsed="false">
      <c r="B26" s="6" t="s">
        <v>288</v>
      </c>
      <c r="C26" s="6" t="s">
        <v>573</v>
      </c>
      <c r="D26" s="6" t="s">
        <v>574</v>
      </c>
      <c r="E26" s="6" t="s">
        <v>575</v>
      </c>
      <c r="F26" s="6" t="s">
        <v>576</v>
      </c>
      <c r="G26" s="6" t="s">
        <v>577</v>
      </c>
    </row>
    <row r="27" customFormat="false" ht="19.5" hidden="false" customHeight="true" outlineLevel="0" collapsed="false">
      <c r="B27" s="129" t="s">
        <v>578</v>
      </c>
      <c r="C27" s="130" t="n">
        <v>0.05</v>
      </c>
      <c r="D27" s="170" t="n">
        <f aca="false">C27*F23</f>
        <v>53.41635</v>
      </c>
      <c r="E27" s="170" t="n">
        <f aca="false">D27*Assumptions!C12</f>
        <v>427.3308</v>
      </c>
    </row>
    <row r="28" customFormat="false" ht="19.5" hidden="false" customHeight="true" outlineLevel="0" collapsed="false">
      <c r="B28" s="133" t="s">
        <v>579</v>
      </c>
      <c r="C28" s="130" t="n">
        <v>0.12</v>
      </c>
      <c r="D28" s="170" t="n">
        <f aca="false">C28*F23</f>
        <v>128.19924</v>
      </c>
      <c r="E28" s="170" t="n">
        <f aca="false">D28*Assumptions!C12</f>
        <v>1025.59392</v>
      </c>
    </row>
    <row r="29" customFormat="false" ht="19.5" hidden="false" customHeight="true" outlineLevel="0" collapsed="false">
      <c r="B29" s="129" t="s">
        <v>580</v>
      </c>
      <c r="C29" s="130" t="n">
        <v>0.18</v>
      </c>
      <c r="D29" s="170" t="n">
        <f aca="false">C29*F23</f>
        <v>192.29886</v>
      </c>
      <c r="E29" s="170" t="n">
        <f aca="false">D29*Assumptions!C12</f>
        <v>1538.39088</v>
      </c>
    </row>
    <row r="30" customFormat="false" ht="19.5" hidden="false" customHeight="true" outlineLevel="0" collapsed="false">
      <c r="B30" s="133" t="s">
        <v>301</v>
      </c>
      <c r="C30" s="130" t="n">
        <v>0.28</v>
      </c>
      <c r="D30" s="170" t="n">
        <f aca="false">C30*F23</f>
        <v>299.13156</v>
      </c>
      <c r="E30" s="170" t="n">
        <f aca="false">D30*Assumptions!C12</f>
        <v>2393.05248</v>
      </c>
    </row>
    <row r="31" customFormat="false" ht="19.5" hidden="false" customHeight="true" outlineLevel="0" collapsed="false">
      <c r="B31" s="129" t="s">
        <v>304</v>
      </c>
      <c r="C31" s="130" t="n">
        <v>0.17</v>
      </c>
      <c r="D31" s="170" t="n">
        <f aca="false">C31*F23</f>
        <v>181.61559</v>
      </c>
      <c r="E31" s="170" t="n">
        <f aca="false">D31*Assumptions!C12</f>
        <v>1452.92472</v>
      </c>
    </row>
    <row r="32" customFormat="false" ht="19.5" hidden="false" customHeight="true" outlineLevel="0" collapsed="false">
      <c r="B32" s="133" t="s">
        <v>307</v>
      </c>
      <c r="C32" s="130" t="n">
        <v>0.08</v>
      </c>
      <c r="D32" s="170" t="n">
        <f aca="false">C32*F23</f>
        <v>85.46616</v>
      </c>
      <c r="E32" s="170" t="n">
        <f aca="false">D32*Assumptions!C12</f>
        <v>683.72928</v>
      </c>
    </row>
    <row r="33" customFormat="false" ht="19.5" hidden="false" customHeight="true" outlineLevel="0" collapsed="false">
      <c r="B33" s="129" t="s">
        <v>309</v>
      </c>
      <c r="C33" s="130" t="n">
        <v>0.06</v>
      </c>
      <c r="D33" s="170" t="n">
        <f aca="false">C33*F23</f>
        <v>64.09962</v>
      </c>
      <c r="E33" s="170" t="n">
        <f aca="false">D33*Assumptions!C12</f>
        <v>512.79696</v>
      </c>
    </row>
    <row r="34" customFormat="false" ht="19.5" hidden="false" customHeight="true" outlineLevel="0" collapsed="false">
      <c r="B34" s="133" t="s">
        <v>581</v>
      </c>
      <c r="C34" s="130" t="n">
        <v>0.03</v>
      </c>
      <c r="D34" s="170" t="n">
        <f aca="false">C34*F23</f>
        <v>32.04981</v>
      </c>
      <c r="E34" s="170" t="n">
        <f aca="false">D34*Assumptions!C12</f>
        <v>256.39848</v>
      </c>
    </row>
    <row r="35" customFormat="false" ht="19.5" hidden="false" customHeight="true" outlineLevel="0" collapsed="false">
      <c r="B35" s="129" t="s">
        <v>314</v>
      </c>
      <c r="C35" s="130" t="n">
        <v>0.03</v>
      </c>
      <c r="D35" s="170" t="n">
        <f aca="false">C35*F23</f>
        <v>32.04981</v>
      </c>
      <c r="E35" s="170" t="n">
        <f aca="false">D35*Assumptions!C12</f>
        <v>256.39848</v>
      </c>
    </row>
  </sheetData>
  <mergeCells count="3">
    <mergeCell ref="B1:J1"/>
    <mergeCell ref="B3:J3"/>
    <mergeCell ref="B25:J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V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8"/>
    <col collapsed="false" customWidth="true" hidden="false" outlineLevel="0" max="21" min="4" style="1" width="7"/>
    <col collapsed="false" customWidth="true" hidden="false" outlineLevel="0" max="22" min="22" style="1" width="12"/>
    <col collapsed="false" customWidth="true" hidden="false" outlineLevel="0" max="23" min="23" style="1" width="14"/>
  </cols>
  <sheetData>
    <row r="1" customFormat="false" ht="36" hidden="false" customHeight="true" outlineLevel="0" collapsed="false">
      <c r="B1" s="91" t="s">
        <v>582</v>
      </c>
      <c r="C1" s="91"/>
      <c r="D1" s="91"/>
      <c r="E1" s="91"/>
      <c r="F1" s="91"/>
      <c r="G1" s="91"/>
      <c r="H1" s="91"/>
      <c r="I1" s="91"/>
      <c r="J1" s="91"/>
      <c r="K1" s="91"/>
      <c r="L1" s="91"/>
      <c r="M1" s="91"/>
      <c r="N1" s="91"/>
      <c r="O1" s="91"/>
      <c r="P1" s="91"/>
      <c r="Q1" s="91"/>
      <c r="R1" s="91"/>
      <c r="S1" s="91"/>
      <c r="T1" s="91"/>
      <c r="U1" s="91"/>
      <c r="V1" s="91"/>
    </row>
    <row r="2" customFormat="false" ht="18" hidden="false" customHeight="true" outlineLevel="0" collapsed="false">
      <c r="B2" s="90" t="s">
        <v>583</v>
      </c>
      <c r="C2" s="90"/>
      <c r="D2" s="90"/>
      <c r="E2" s="90"/>
      <c r="F2" s="90"/>
      <c r="G2" s="90"/>
      <c r="H2" s="90"/>
      <c r="I2" s="90"/>
      <c r="J2" s="90"/>
      <c r="K2" s="90"/>
      <c r="L2" s="90"/>
      <c r="M2" s="90"/>
      <c r="N2" s="90"/>
      <c r="O2" s="90"/>
      <c r="P2" s="90"/>
      <c r="Q2" s="90"/>
      <c r="R2" s="90"/>
      <c r="S2" s="90"/>
      <c r="T2" s="90"/>
      <c r="U2" s="90"/>
      <c r="V2" s="90"/>
    </row>
    <row r="4" customFormat="false" ht="15" hidden="false" customHeight="true" outlineLevel="0" collapsed="false">
      <c r="B4" s="167" t="s">
        <v>584</v>
      </c>
      <c r="C4" s="167"/>
      <c r="D4" s="167"/>
      <c r="E4" s="167"/>
      <c r="F4" s="167"/>
      <c r="G4" s="167"/>
      <c r="H4" s="167"/>
      <c r="I4" s="167"/>
      <c r="J4" s="167"/>
      <c r="K4" s="167"/>
      <c r="L4" s="167"/>
      <c r="M4" s="167"/>
      <c r="N4" s="167"/>
      <c r="O4" s="167"/>
      <c r="P4" s="167"/>
      <c r="Q4" s="167"/>
      <c r="R4" s="167"/>
      <c r="S4" s="167"/>
      <c r="T4" s="167"/>
      <c r="U4" s="167"/>
      <c r="V4" s="167"/>
    </row>
    <row r="5" customFormat="false" ht="19.5" hidden="false" customHeight="true" outlineLevel="0" collapsed="false">
      <c r="B5" s="6" t="s">
        <v>585</v>
      </c>
      <c r="C5" s="6" t="s">
        <v>586</v>
      </c>
      <c r="D5" s="6" t="s">
        <v>587</v>
      </c>
      <c r="E5" s="6" t="s">
        <v>588</v>
      </c>
      <c r="F5" s="6" t="s">
        <v>589</v>
      </c>
      <c r="G5" s="6" t="s">
        <v>590</v>
      </c>
    </row>
    <row r="6" customFormat="false" ht="21.75" hidden="false" customHeight="true" outlineLevel="0" collapsed="false">
      <c r="B6" s="75" t="s">
        <v>439</v>
      </c>
      <c r="C6" s="175" t="s">
        <v>591</v>
      </c>
      <c r="D6" s="176" t="s">
        <v>592</v>
      </c>
      <c r="E6" s="177" t="n">
        <v>1290</v>
      </c>
      <c r="F6" s="178" t="n">
        <v>30</v>
      </c>
      <c r="G6" s="59" t="n">
        <v>1</v>
      </c>
    </row>
    <row r="7" customFormat="false" ht="21.75" hidden="false" customHeight="true" outlineLevel="0" collapsed="false">
      <c r="B7" s="76" t="s">
        <v>238</v>
      </c>
      <c r="C7" s="179" t="s">
        <v>239</v>
      </c>
      <c r="D7" s="180" t="s">
        <v>593</v>
      </c>
      <c r="E7" s="177" t="n">
        <v>1065</v>
      </c>
      <c r="F7" s="178" t="n">
        <v>80</v>
      </c>
      <c r="G7" s="59" t="n">
        <v>1</v>
      </c>
    </row>
    <row r="8" customFormat="false" ht="21.75" hidden="false" customHeight="true" outlineLevel="0" collapsed="false">
      <c r="B8" s="75" t="s">
        <v>594</v>
      </c>
      <c r="C8" s="175" t="s">
        <v>239</v>
      </c>
      <c r="D8" s="176" t="s">
        <v>595</v>
      </c>
      <c r="E8" s="177" t="n">
        <v>870</v>
      </c>
      <c r="F8" s="178" t="n">
        <v>150</v>
      </c>
      <c r="G8" s="59" t="n">
        <v>1</v>
      </c>
    </row>
    <row r="9" customFormat="false" ht="21.75" hidden="false" customHeight="true" outlineLevel="0" collapsed="false">
      <c r="B9" s="76" t="s">
        <v>596</v>
      </c>
      <c r="C9" s="179" t="s">
        <v>239</v>
      </c>
      <c r="D9" s="180" t="s">
        <v>597</v>
      </c>
      <c r="E9" s="177" t="n">
        <v>870</v>
      </c>
      <c r="F9" s="178" t="n">
        <v>160</v>
      </c>
      <c r="G9" s="59" t="n">
        <v>1</v>
      </c>
    </row>
    <row r="10" customFormat="false" ht="21.75" hidden="false" customHeight="true" outlineLevel="0" collapsed="false">
      <c r="B10" s="75" t="s">
        <v>598</v>
      </c>
      <c r="C10" s="175" t="s">
        <v>239</v>
      </c>
      <c r="D10" s="176" t="s">
        <v>599</v>
      </c>
      <c r="E10" s="177" t="n">
        <v>870</v>
      </c>
      <c r="F10" s="178" t="n">
        <v>140</v>
      </c>
      <c r="G10" s="59" t="n">
        <v>1</v>
      </c>
    </row>
    <row r="11" customFormat="false" ht="21.75" hidden="false" customHeight="true" outlineLevel="0" collapsed="false">
      <c r="B11" s="76" t="s">
        <v>600</v>
      </c>
      <c r="C11" s="179" t="s">
        <v>239</v>
      </c>
      <c r="D11" s="180" t="s">
        <v>601</v>
      </c>
      <c r="E11" s="177" t="n">
        <v>935</v>
      </c>
      <c r="F11" s="178" t="n">
        <v>120</v>
      </c>
      <c r="G11" s="59" t="n">
        <v>1</v>
      </c>
    </row>
    <row r="12" customFormat="false" ht="21.75" hidden="false" customHeight="true" outlineLevel="0" collapsed="false">
      <c r="B12" s="75" t="s">
        <v>602</v>
      </c>
      <c r="C12" s="175" t="s">
        <v>246</v>
      </c>
      <c r="D12" s="176" t="s">
        <v>603</v>
      </c>
      <c r="E12" s="177" t="n">
        <v>696</v>
      </c>
      <c r="F12" s="178" t="n">
        <v>350</v>
      </c>
      <c r="G12" s="59" t="n">
        <v>2</v>
      </c>
    </row>
    <row r="13" customFormat="false" ht="21.75" hidden="false" customHeight="true" outlineLevel="0" collapsed="false">
      <c r="B13" s="76" t="s">
        <v>604</v>
      </c>
      <c r="C13" s="179" t="s">
        <v>249</v>
      </c>
      <c r="D13" s="180" t="s">
        <v>605</v>
      </c>
      <c r="E13" s="177" t="n">
        <v>522</v>
      </c>
      <c r="F13" s="178" t="n">
        <v>400</v>
      </c>
      <c r="G13" s="59" t="n">
        <v>3</v>
      </c>
    </row>
    <row r="14" customFormat="false" ht="21.75" hidden="false" customHeight="true" outlineLevel="0" collapsed="false">
      <c r="B14" s="75" t="s">
        <v>606</v>
      </c>
      <c r="C14" s="175" t="s">
        <v>249</v>
      </c>
      <c r="D14" s="176" t="s">
        <v>607</v>
      </c>
      <c r="E14" s="177" t="n">
        <v>551</v>
      </c>
      <c r="F14" s="178" t="n">
        <v>200</v>
      </c>
      <c r="G14" s="59" t="n">
        <v>1</v>
      </c>
    </row>
    <row r="15" customFormat="false" ht="21.75" hidden="false" customHeight="true" outlineLevel="0" collapsed="false">
      <c r="B15" s="76" t="s">
        <v>253</v>
      </c>
      <c r="C15" s="179" t="s">
        <v>246</v>
      </c>
      <c r="D15" s="180" t="s">
        <v>608</v>
      </c>
      <c r="E15" s="177" t="n">
        <v>638</v>
      </c>
      <c r="F15" s="178" t="n">
        <v>100</v>
      </c>
      <c r="G15" s="59" t="n">
        <v>1</v>
      </c>
    </row>
    <row r="16" customFormat="false" ht="21.75" hidden="false" customHeight="true" outlineLevel="0" collapsed="false">
      <c r="B16" s="75" t="s">
        <v>432</v>
      </c>
      <c r="C16" s="175" t="s">
        <v>246</v>
      </c>
      <c r="D16" s="176" t="s">
        <v>609</v>
      </c>
      <c r="E16" s="177" t="n">
        <v>754</v>
      </c>
      <c r="F16" s="178" t="n">
        <v>80</v>
      </c>
      <c r="G16" s="59" t="n">
        <v>1</v>
      </c>
    </row>
    <row r="17" customFormat="false" ht="21.75" hidden="false" customHeight="true" outlineLevel="0" collapsed="false">
      <c r="B17" s="76" t="s">
        <v>424</v>
      </c>
      <c r="C17" s="179" t="s">
        <v>246</v>
      </c>
      <c r="D17" s="180" t="s">
        <v>610</v>
      </c>
      <c r="E17" s="177" t="n">
        <v>580</v>
      </c>
      <c r="F17" s="178" t="n">
        <v>90</v>
      </c>
      <c r="G17" s="59" t="n">
        <v>1</v>
      </c>
    </row>
    <row r="18" customFormat="false" ht="21.75" hidden="false" customHeight="true" outlineLevel="0" collapsed="false">
      <c r="B18" s="75" t="s">
        <v>443</v>
      </c>
      <c r="C18" s="175" t="s">
        <v>249</v>
      </c>
      <c r="D18" s="176" t="s">
        <v>611</v>
      </c>
      <c r="E18" s="177" t="n">
        <v>645</v>
      </c>
      <c r="F18" s="178" t="n">
        <v>50</v>
      </c>
      <c r="G18" s="59" t="n">
        <v>1</v>
      </c>
    </row>
    <row r="19" customFormat="false" ht="21.75" hidden="false" customHeight="true" outlineLevel="0" collapsed="false">
      <c r="B19" s="76" t="s">
        <v>259</v>
      </c>
      <c r="C19" s="179" t="s">
        <v>246</v>
      </c>
      <c r="D19" s="180" t="s">
        <v>612</v>
      </c>
      <c r="E19" s="177" t="n">
        <v>812</v>
      </c>
      <c r="F19" s="178" t="n">
        <v>90</v>
      </c>
      <c r="G19" s="59" t="n">
        <v>1</v>
      </c>
    </row>
    <row r="22" customFormat="false" ht="15" hidden="false" customHeight="true" outlineLevel="0" collapsed="false">
      <c r="B22" s="167" t="s">
        <v>613</v>
      </c>
      <c r="C22" s="167"/>
      <c r="D22" s="167"/>
      <c r="E22" s="167"/>
      <c r="F22" s="167"/>
      <c r="G22" s="167"/>
      <c r="H22" s="167"/>
      <c r="I22" s="167"/>
      <c r="J22" s="167"/>
      <c r="K22" s="167"/>
      <c r="L22" s="167"/>
      <c r="M22" s="167"/>
      <c r="N22" s="167"/>
      <c r="O22" s="167"/>
      <c r="P22" s="167"/>
      <c r="Q22" s="167"/>
      <c r="R22" s="167"/>
      <c r="S22" s="167"/>
      <c r="T22" s="167"/>
      <c r="U22" s="167"/>
      <c r="V22" s="167"/>
    </row>
    <row r="23" customFormat="false" ht="19.5" hidden="false" customHeight="true" outlineLevel="0" collapsed="false">
      <c r="B23" s="181" t="s">
        <v>614</v>
      </c>
      <c r="C23" s="182" t="s">
        <v>615</v>
      </c>
      <c r="D23" s="182" t="s">
        <v>616</v>
      </c>
      <c r="E23" s="182" t="s">
        <v>617</v>
      </c>
      <c r="F23" s="182" t="s">
        <v>618</v>
      </c>
      <c r="G23" s="182" t="s">
        <v>619</v>
      </c>
      <c r="H23" s="182" t="s">
        <v>620</v>
      </c>
      <c r="I23" s="182" t="s">
        <v>621</v>
      </c>
      <c r="J23" s="182" t="s">
        <v>622</v>
      </c>
      <c r="K23" s="182" t="s">
        <v>623</v>
      </c>
      <c r="L23" s="182" t="s">
        <v>624</v>
      </c>
      <c r="M23" s="182" t="s">
        <v>625</v>
      </c>
      <c r="N23" s="182" t="s">
        <v>626</v>
      </c>
      <c r="O23" s="182" t="s">
        <v>627</v>
      </c>
      <c r="P23" s="182" t="s">
        <v>628</v>
      </c>
      <c r="Q23" s="182" t="s">
        <v>629</v>
      </c>
      <c r="R23" s="182" t="s">
        <v>630</v>
      </c>
      <c r="S23" s="182" t="s">
        <v>631</v>
      </c>
      <c r="T23" s="182" t="s">
        <v>632</v>
      </c>
      <c r="U23" s="6" t="s">
        <v>590</v>
      </c>
      <c r="V23" s="6" t="s">
        <v>633</v>
      </c>
    </row>
    <row r="24" customFormat="false" ht="19.5" hidden="false" customHeight="true" outlineLevel="0" collapsed="false">
      <c r="B24" s="183" t="s">
        <v>439</v>
      </c>
      <c r="C24" s="184" t="n">
        <v>1</v>
      </c>
      <c r="D24" s="184" t="n">
        <v>1</v>
      </c>
      <c r="E24" s="184" t="n">
        <v>1</v>
      </c>
      <c r="F24" s="184" t="n">
        <v>1</v>
      </c>
      <c r="G24" s="184" t="n">
        <v>1</v>
      </c>
      <c r="H24" s="184" t="n">
        <v>1</v>
      </c>
      <c r="I24" s="184" t="n">
        <v>1</v>
      </c>
      <c r="J24" s="184" t="n">
        <v>1</v>
      </c>
      <c r="K24" s="184" t="n">
        <v>1</v>
      </c>
      <c r="L24" s="184" t="n">
        <v>1</v>
      </c>
      <c r="M24" s="184" t="n">
        <v>1</v>
      </c>
      <c r="N24" s="184" t="n">
        <v>1</v>
      </c>
      <c r="O24" s="184" t="n">
        <v>1</v>
      </c>
      <c r="P24" s="184" t="n">
        <v>1</v>
      </c>
      <c r="Q24" s="184" t="n">
        <v>1</v>
      </c>
      <c r="R24" s="184" t="n">
        <v>1</v>
      </c>
      <c r="S24" s="184" t="n">
        <v>1</v>
      </c>
      <c r="T24" s="184" t="n">
        <v>1</v>
      </c>
      <c r="U24" s="117" t="n">
        <v>1</v>
      </c>
      <c r="V24" s="178" t="n">
        <v>360</v>
      </c>
    </row>
    <row r="25" customFormat="false" ht="19.5" hidden="false" customHeight="true" outlineLevel="0" collapsed="false">
      <c r="B25" s="95" t="s">
        <v>238</v>
      </c>
      <c r="C25" s="184" t="n">
        <v>1</v>
      </c>
      <c r="D25" s="184" t="n">
        <v>1</v>
      </c>
      <c r="E25" s="65" t="n">
        <v>2</v>
      </c>
      <c r="F25" s="65" t="n">
        <v>2</v>
      </c>
      <c r="G25" s="65" t="n">
        <v>2</v>
      </c>
      <c r="H25" s="65" t="n">
        <v>2</v>
      </c>
      <c r="I25" s="184" t="n">
        <v>1</v>
      </c>
      <c r="J25" s="184" t="n">
        <v>1</v>
      </c>
      <c r="K25" s="184" t="n">
        <v>1</v>
      </c>
      <c r="L25" s="184" t="n">
        <v>1</v>
      </c>
      <c r="M25" s="184" t="n">
        <v>1</v>
      </c>
      <c r="N25" s="184" t="n">
        <v>1</v>
      </c>
      <c r="O25" s="184" t="n">
        <v>1</v>
      </c>
      <c r="P25" s="184" t="n">
        <v>1</v>
      </c>
      <c r="Q25" s="185"/>
      <c r="R25" s="185"/>
      <c r="S25" s="185"/>
      <c r="T25" s="185"/>
      <c r="U25" s="117" t="n">
        <v>2</v>
      </c>
      <c r="V25" s="178" t="n">
        <v>360</v>
      </c>
    </row>
    <row r="26" customFormat="false" ht="19.5" hidden="false" customHeight="true" outlineLevel="0" collapsed="false">
      <c r="B26" s="186" t="s">
        <v>594</v>
      </c>
      <c r="C26" s="187"/>
      <c r="D26" s="184" t="n">
        <v>1</v>
      </c>
      <c r="E26" s="184" t="n">
        <v>1</v>
      </c>
      <c r="F26" s="65" t="n">
        <v>2</v>
      </c>
      <c r="G26" s="65" t="n">
        <v>2</v>
      </c>
      <c r="H26" s="65" t="n">
        <v>2</v>
      </c>
      <c r="I26" s="65" t="n">
        <v>2</v>
      </c>
      <c r="J26" s="184" t="n">
        <v>1</v>
      </c>
      <c r="K26" s="184" t="n">
        <v>1</v>
      </c>
      <c r="L26" s="184" t="n">
        <v>1</v>
      </c>
      <c r="M26" s="184" t="n">
        <v>1</v>
      </c>
      <c r="N26" s="187"/>
      <c r="O26" s="187"/>
      <c r="P26" s="187"/>
      <c r="Q26" s="187"/>
      <c r="R26" s="187"/>
      <c r="S26" s="187"/>
      <c r="T26" s="187"/>
      <c r="U26" s="117" t="n">
        <v>2</v>
      </c>
      <c r="V26" s="178" t="n">
        <v>280</v>
      </c>
    </row>
    <row r="27" customFormat="false" ht="19.5" hidden="false" customHeight="true" outlineLevel="0" collapsed="false">
      <c r="B27" s="95" t="s">
        <v>596</v>
      </c>
      <c r="C27" s="185"/>
      <c r="D27" s="184" t="n">
        <v>1</v>
      </c>
      <c r="E27" s="184" t="n">
        <v>1</v>
      </c>
      <c r="F27" s="65" t="n">
        <v>2</v>
      </c>
      <c r="G27" s="65" t="n">
        <v>2</v>
      </c>
      <c r="H27" s="65" t="n">
        <v>2</v>
      </c>
      <c r="I27" s="65" t="n">
        <v>2</v>
      </c>
      <c r="J27" s="184" t="n">
        <v>1</v>
      </c>
      <c r="K27" s="184" t="n">
        <v>1</v>
      </c>
      <c r="L27" s="184" t="n">
        <v>1</v>
      </c>
      <c r="M27" s="184" t="n">
        <v>1</v>
      </c>
      <c r="N27" s="185"/>
      <c r="O27" s="185"/>
      <c r="P27" s="185"/>
      <c r="Q27" s="185"/>
      <c r="R27" s="185"/>
      <c r="S27" s="185"/>
      <c r="T27" s="185"/>
      <c r="U27" s="117" t="n">
        <v>2</v>
      </c>
      <c r="V27" s="178" t="n">
        <v>280</v>
      </c>
    </row>
    <row r="28" customFormat="false" ht="19.5" hidden="false" customHeight="true" outlineLevel="0" collapsed="false">
      <c r="B28" s="186" t="s">
        <v>598</v>
      </c>
      <c r="C28" s="187"/>
      <c r="D28" s="184" t="n">
        <v>1</v>
      </c>
      <c r="E28" s="184" t="n">
        <v>1</v>
      </c>
      <c r="F28" s="65" t="n">
        <v>2</v>
      </c>
      <c r="G28" s="65" t="n">
        <v>2</v>
      </c>
      <c r="H28" s="65" t="n">
        <v>2</v>
      </c>
      <c r="I28" s="65" t="n">
        <v>2</v>
      </c>
      <c r="J28" s="184" t="n">
        <v>1</v>
      </c>
      <c r="K28" s="184" t="n">
        <v>1</v>
      </c>
      <c r="L28" s="184" t="n">
        <v>1</v>
      </c>
      <c r="M28" s="184" t="n">
        <v>1</v>
      </c>
      <c r="N28" s="187"/>
      <c r="O28" s="187"/>
      <c r="P28" s="187"/>
      <c r="Q28" s="187"/>
      <c r="R28" s="187"/>
      <c r="S28" s="187"/>
      <c r="T28" s="187"/>
      <c r="U28" s="117" t="n">
        <v>2</v>
      </c>
      <c r="V28" s="178" t="n">
        <v>280</v>
      </c>
    </row>
    <row r="29" customFormat="false" ht="19.5" hidden="false" customHeight="true" outlineLevel="0" collapsed="false">
      <c r="B29" s="95" t="s">
        <v>634</v>
      </c>
      <c r="C29" s="185"/>
      <c r="D29" s="185"/>
      <c r="E29" s="184" t="n">
        <v>1</v>
      </c>
      <c r="F29" s="184" t="n">
        <v>1</v>
      </c>
      <c r="G29" s="65" t="n">
        <v>2</v>
      </c>
      <c r="H29" s="65" t="n">
        <v>2</v>
      </c>
      <c r="I29" s="65" t="n">
        <v>2</v>
      </c>
      <c r="J29" s="65" t="n">
        <v>2</v>
      </c>
      <c r="K29" s="65" t="n">
        <v>2</v>
      </c>
      <c r="L29" s="184" t="n">
        <v>1</v>
      </c>
      <c r="M29" s="184" t="n">
        <v>1</v>
      </c>
      <c r="N29" s="184" t="n">
        <v>1</v>
      </c>
      <c r="O29" s="185"/>
      <c r="P29" s="185"/>
      <c r="Q29" s="185"/>
      <c r="R29" s="185"/>
      <c r="S29" s="185"/>
      <c r="T29" s="185"/>
      <c r="U29" s="117" t="n">
        <v>2</v>
      </c>
      <c r="V29" s="178" t="n">
        <v>300</v>
      </c>
    </row>
    <row r="30" customFormat="false" ht="19.5" hidden="false" customHeight="true" outlineLevel="0" collapsed="false">
      <c r="B30" s="186" t="s">
        <v>635</v>
      </c>
      <c r="C30" s="187"/>
      <c r="D30" s="184" t="n">
        <v>1</v>
      </c>
      <c r="E30" s="65" t="n">
        <v>2</v>
      </c>
      <c r="F30" s="65" t="n">
        <v>3</v>
      </c>
      <c r="G30" s="65" t="n">
        <v>4</v>
      </c>
      <c r="H30" s="65" t="n">
        <v>4</v>
      </c>
      <c r="I30" s="65" t="n">
        <v>4</v>
      </c>
      <c r="J30" s="65" t="n">
        <v>3</v>
      </c>
      <c r="K30" s="65" t="n">
        <v>3</v>
      </c>
      <c r="L30" s="65" t="n">
        <v>2</v>
      </c>
      <c r="M30" s="65" t="n">
        <v>2</v>
      </c>
      <c r="N30" s="184" t="n">
        <v>1</v>
      </c>
      <c r="O30" s="187"/>
      <c r="P30" s="187"/>
      <c r="Q30" s="187"/>
      <c r="R30" s="187"/>
      <c r="S30" s="187"/>
      <c r="T30" s="187"/>
      <c r="U30" s="117" t="n">
        <v>4</v>
      </c>
      <c r="V30" s="178" t="n">
        <v>580</v>
      </c>
    </row>
    <row r="31" customFormat="false" ht="19.5" hidden="false" customHeight="true" outlineLevel="0" collapsed="false">
      <c r="B31" s="95" t="s">
        <v>636</v>
      </c>
      <c r="C31" s="185"/>
      <c r="D31" s="185"/>
      <c r="E31" s="184" t="n">
        <v>1</v>
      </c>
      <c r="F31" s="65" t="n">
        <v>2</v>
      </c>
      <c r="G31" s="65" t="n">
        <v>2</v>
      </c>
      <c r="H31" s="65" t="n">
        <v>2</v>
      </c>
      <c r="I31" s="65" t="n">
        <v>2</v>
      </c>
      <c r="J31" s="65" t="n">
        <v>2</v>
      </c>
      <c r="K31" s="184" t="n">
        <v>1</v>
      </c>
      <c r="L31" s="184" t="n">
        <v>1</v>
      </c>
      <c r="M31" s="185"/>
      <c r="N31" s="185"/>
      <c r="O31" s="185"/>
      <c r="P31" s="185"/>
      <c r="Q31" s="185"/>
      <c r="R31" s="185"/>
      <c r="S31" s="185"/>
      <c r="T31" s="185"/>
      <c r="U31" s="117" t="n">
        <v>2</v>
      </c>
      <c r="V31" s="178" t="n">
        <v>260</v>
      </c>
    </row>
    <row r="32" customFormat="false" ht="19.5" hidden="false" customHeight="true" outlineLevel="0" collapsed="false">
      <c r="B32" s="186" t="s">
        <v>253</v>
      </c>
      <c r="C32" s="187"/>
      <c r="D32" s="187"/>
      <c r="E32" s="184" t="n">
        <v>1</v>
      </c>
      <c r="F32" s="184" t="n">
        <v>1</v>
      </c>
      <c r="G32" s="184" t="n">
        <v>1</v>
      </c>
      <c r="H32" s="184" t="n">
        <v>1</v>
      </c>
      <c r="I32" s="65" t="n">
        <v>2</v>
      </c>
      <c r="J32" s="65" t="n">
        <v>2</v>
      </c>
      <c r="K32" s="65" t="n">
        <v>2</v>
      </c>
      <c r="L32" s="184" t="n">
        <v>1</v>
      </c>
      <c r="M32" s="184" t="n">
        <v>1</v>
      </c>
      <c r="N32" s="187"/>
      <c r="O32" s="187"/>
      <c r="P32" s="187"/>
      <c r="Q32" s="187"/>
      <c r="R32" s="187"/>
      <c r="S32" s="187"/>
      <c r="T32" s="187"/>
      <c r="U32" s="117" t="n">
        <v>2</v>
      </c>
      <c r="V32" s="178" t="n">
        <v>240</v>
      </c>
    </row>
    <row r="33" customFormat="false" ht="19.5" hidden="false" customHeight="true" outlineLevel="0" collapsed="false">
      <c r="B33" s="95" t="s">
        <v>637</v>
      </c>
      <c r="C33" s="185"/>
      <c r="D33" s="184" t="n">
        <v>1</v>
      </c>
      <c r="E33" s="184" t="n">
        <v>1</v>
      </c>
      <c r="F33" s="184" t="n">
        <v>1</v>
      </c>
      <c r="G33" s="184" t="n">
        <v>1</v>
      </c>
      <c r="H33" s="184" t="n">
        <v>1</v>
      </c>
      <c r="I33" s="184" t="n">
        <v>1</v>
      </c>
      <c r="J33" s="184" t="n">
        <v>1</v>
      </c>
      <c r="K33" s="184" t="n">
        <v>1</v>
      </c>
      <c r="L33" s="184" t="n">
        <v>1</v>
      </c>
      <c r="M33" s="184" t="n">
        <v>1</v>
      </c>
      <c r="N33" s="184" t="n">
        <v>1</v>
      </c>
      <c r="O33" s="184" t="n">
        <v>1</v>
      </c>
      <c r="P33" s="185"/>
      <c r="Q33" s="185"/>
      <c r="R33" s="185"/>
      <c r="S33" s="185"/>
      <c r="T33" s="185"/>
      <c r="U33" s="117" t="n">
        <v>1</v>
      </c>
      <c r="V33" s="178" t="n">
        <v>240</v>
      </c>
    </row>
    <row r="34" customFormat="false" ht="19.5" hidden="false" customHeight="true" outlineLevel="0" collapsed="false">
      <c r="B34" s="186" t="s">
        <v>424</v>
      </c>
      <c r="C34" s="187"/>
      <c r="D34" s="187"/>
      <c r="E34" s="187"/>
      <c r="F34" s="187"/>
      <c r="G34" s="184" t="n">
        <v>1</v>
      </c>
      <c r="H34" s="184" t="n">
        <v>1</v>
      </c>
      <c r="I34" s="184" t="n">
        <v>1</v>
      </c>
      <c r="J34" s="65" t="n">
        <v>2</v>
      </c>
      <c r="K34" s="65" t="n">
        <v>2</v>
      </c>
      <c r="L34" s="65" t="n">
        <v>2</v>
      </c>
      <c r="M34" s="184" t="n">
        <v>1</v>
      </c>
      <c r="N34" s="187"/>
      <c r="O34" s="187"/>
      <c r="P34" s="187"/>
      <c r="Q34" s="187"/>
      <c r="R34" s="187"/>
      <c r="S34" s="187"/>
      <c r="T34" s="187"/>
      <c r="U34" s="117" t="n">
        <v>2</v>
      </c>
      <c r="V34" s="178" t="n">
        <v>200</v>
      </c>
    </row>
    <row r="35" customFormat="false" ht="19.5" hidden="false" customHeight="true" outlineLevel="0" collapsed="false">
      <c r="B35" s="95" t="s">
        <v>443</v>
      </c>
      <c r="C35" s="184" t="n">
        <v>1</v>
      </c>
      <c r="D35" s="184" t="n">
        <v>1</v>
      </c>
      <c r="E35" s="184" t="n">
        <v>1</v>
      </c>
      <c r="F35" s="184" t="n">
        <v>1</v>
      </c>
      <c r="G35" s="185"/>
      <c r="H35" s="185"/>
      <c r="I35" s="185"/>
      <c r="J35" s="185"/>
      <c r="K35" s="185"/>
      <c r="L35" s="185"/>
      <c r="M35" s="185"/>
      <c r="N35" s="185"/>
      <c r="O35" s="185"/>
      <c r="P35" s="185"/>
      <c r="Q35" s="185"/>
      <c r="R35" s="185"/>
      <c r="S35" s="185"/>
      <c r="T35" s="185"/>
      <c r="U35" s="117" t="n">
        <v>1</v>
      </c>
      <c r="V35" s="178" t="n">
        <v>80</v>
      </c>
    </row>
    <row r="36" customFormat="false" ht="19.5" hidden="false" customHeight="true" outlineLevel="0" collapsed="false">
      <c r="B36" s="186" t="s">
        <v>259</v>
      </c>
      <c r="C36" s="184" t="n">
        <v>1</v>
      </c>
      <c r="D36" s="184" t="n">
        <v>1</v>
      </c>
      <c r="E36" s="184" t="n">
        <v>1</v>
      </c>
      <c r="F36" s="184" t="n">
        <v>1</v>
      </c>
      <c r="G36" s="184" t="n">
        <v>1</v>
      </c>
      <c r="H36" s="184" t="n">
        <v>1</v>
      </c>
      <c r="I36" s="184" t="n">
        <v>1</v>
      </c>
      <c r="J36" s="184" t="n">
        <v>1</v>
      </c>
      <c r="K36" s="184" t="n">
        <v>1</v>
      </c>
      <c r="L36" s="184" t="n">
        <v>1</v>
      </c>
      <c r="M36" s="184" t="n">
        <v>1</v>
      </c>
      <c r="N36" s="184" t="n">
        <v>1</v>
      </c>
      <c r="O36" s="184" t="n">
        <v>1</v>
      </c>
      <c r="P36" s="184" t="n">
        <v>1</v>
      </c>
      <c r="Q36" s="184" t="n">
        <v>1</v>
      </c>
      <c r="R36" s="184" t="n">
        <v>1</v>
      </c>
      <c r="S36" s="184" t="n">
        <v>1</v>
      </c>
      <c r="T36" s="184" t="n">
        <v>1</v>
      </c>
      <c r="U36" s="117" t="n">
        <v>1</v>
      </c>
      <c r="V36" s="178" t="n">
        <v>360</v>
      </c>
    </row>
    <row r="37" customFormat="false" ht="24" hidden="false" customHeight="true" outlineLevel="0" collapsed="false">
      <c r="B37" s="188" t="s">
        <v>638</v>
      </c>
      <c r="C37" s="189" t="n">
        <v>4</v>
      </c>
      <c r="D37" s="189" t="n">
        <v>9</v>
      </c>
      <c r="E37" s="189" t="n">
        <v>14</v>
      </c>
      <c r="F37" s="189" t="n">
        <v>19</v>
      </c>
      <c r="G37" s="189" t="n">
        <v>21</v>
      </c>
      <c r="H37" s="189" t="n">
        <v>21</v>
      </c>
      <c r="I37" s="189" t="n">
        <v>21</v>
      </c>
      <c r="J37" s="189" t="n">
        <v>18</v>
      </c>
      <c r="K37" s="189" t="n">
        <v>17</v>
      </c>
      <c r="L37" s="189" t="n">
        <v>14</v>
      </c>
      <c r="M37" s="189" t="n">
        <v>12</v>
      </c>
      <c r="N37" s="189" t="n">
        <v>6</v>
      </c>
      <c r="O37" s="189" t="n">
        <v>4</v>
      </c>
      <c r="P37" s="189" t="n">
        <v>3</v>
      </c>
      <c r="Q37" s="189" t="n">
        <v>2</v>
      </c>
      <c r="R37" s="189" t="n">
        <v>2</v>
      </c>
      <c r="S37" s="189" t="n">
        <v>2</v>
      </c>
      <c r="T37" s="189" t="n">
        <v>2</v>
      </c>
    </row>
  </sheetData>
  <mergeCells count="4">
    <mergeCell ref="B1:V1"/>
    <mergeCell ref="B2:V2"/>
    <mergeCell ref="B4:V4"/>
    <mergeCell ref="B22:V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5"/>
    <col collapsed="false" customWidth="true" hidden="false" outlineLevel="0" max="3" min="3" style="1" width="22"/>
    <col collapsed="false" customWidth="true" hidden="false" outlineLevel="0" max="4" min="4" style="1" width="12"/>
    <col collapsed="false" customWidth="true" hidden="false" outlineLevel="0" max="5" min="5" style="1" width="14"/>
    <col collapsed="false" customWidth="true" hidden="false" outlineLevel="0" max="7" min="6" style="1" width="10"/>
    <col collapsed="false" customWidth="true" hidden="false" outlineLevel="0" max="8" min="8" style="1" width="30"/>
  </cols>
  <sheetData>
    <row r="1" customFormat="false" ht="36" hidden="false" customHeight="true" outlineLevel="0" collapsed="false">
      <c r="B1" s="91" t="s">
        <v>639</v>
      </c>
      <c r="C1" s="91"/>
      <c r="D1" s="91"/>
      <c r="E1" s="91"/>
      <c r="F1" s="91"/>
      <c r="G1" s="91"/>
      <c r="H1" s="91"/>
    </row>
    <row r="3" customFormat="false" ht="15" hidden="false" customHeight="true" outlineLevel="0" collapsed="false">
      <c r="B3" s="167" t="s">
        <v>640</v>
      </c>
      <c r="C3" s="167"/>
      <c r="D3" s="167"/>
      <c r="E3" s="167"/>
      <c r="F3" s="167"/>
      <c r="G3" s="167"/>
      <c r="H3" s="167"/>
    </row>
    <row r="4" customFormat="false" ht="24" hidden="false" customHeight="true" outlineLevel="0" collapsed="false">
      <c r="B4" s="8" t="s">
        <v>641</v>
      </c>
      <c r="C4" s="8"/>
      <c r="D4" s="8"/>
      <c r="E4" s="8"/>
      <c r="F4" s="8"/>
      <c r="G4" s="190" t="s">
        <v>642</v>
      </c>
      <c r="H4" s="190"/>
    </row>
    <row r="5" customFormat="false" ht="24" hidden="false" customHeight="true" outlineLevel="0" collapsed="false">
      <c r="B5" s="56" t="s">
        <v>643</v>
      </c>
      <c r="C5" s="56"/>
      <c r="D5" s="56"/>
      <c r="E5" s="56"/>
      <c r="F5" s="56"/>
      <c r="G5" s="190" t="s">
        <v>642</v>
      </c>
      <c r="H5" s="190"/>
    </row>
    <row r="6" customFormat="false" ht="24" hidden="false" customHeight="true" outlineLevel="0" collapsed="false">
      <c r="B6" s="8" t="s">
        <v>644</v>
      </c>
      <c r="C6" s="8"/>
      <c r="D6" s="8"/>
      <c r="E6" s="8"/>
      <c r="F6" s="8"/>
      <c r="G6" s="190" t="s">
        <v>642</v>
      </c>
      <c r="H6" s="190"/>
    </row>
    <row r="7" customFormat="false" ht="24" hidden="false" customHeight="true" outlineLevel="0" collapsed="false">
      <c r="B7" s="56" t="s">
        <v>645</v>
      </c>
      <c r="C7" s="56"/>
      <c r="D7" s="56"/>
      <c r="E7" s="56"/>
      <c r="F7" s="56"/>
      <c r="G7" s="190" t="s">
        <v>646</v>
      </c>
      <c r="H7" s="190"/>
    </row>
    <row r="8" customFormat="false" ht="24" hidden="false" customHeight="true" outlineLevel="0" collapsed="false">
      <c r="B8" s="8" t="s">
        <v>647</v>
      </c>
      <c r="C8" s="8"/>
      <c r="D8" s="8"/>
      <c r="E8" s="8"/>
      <c r="F8" s="8"/>
      <c r="G8" s="190" t="s">
        <v>646</v>
      </c>
      <c r="H8" s="190"/>
    </row>
    <row r="9" customFormat="false" ht="24" hidden="false" customHeight="true" outlineLevel="0" collapsed="false">
      <c r="B9" s="56" t="s">
        <v>648</v>
      </c>
      <c r="C9" s="56"/>
      <c r="D9" s="56"/>
      <c r="E9" s="56"/>
      <c r="F9" s="56"/>
      <c r="G9" s="190" t="s">
        <v>649</v>
      </c>
      <c r="H9" s="190"/>
    </row>
    <row r="10" customFormat="false" ht="24" hidden="false" customHeight="true" outlineLevel="0" collapsed="false">
      <c r="B10" s="8" t="s">
        <v>650</v>
      </c>
      <c r="C10" s="8"/>
      <c r="D10" s="8"/>
      <c r="E10" s="8"/>
      <c r="F10" s="8"/>
      <c r="G10" s="190" t="s">
        <v>651</v>
      </c>
      <c r="H10" s="190"/>
    </row>
    <row r="11" customFormat="false" ht="24" hidden="false" customHeight="true" outlineLevel="0" collapsed="false">
      <c r="B11" s="56" t="s">
        <v>652</v>
      </c>
      <c r="C11" s="56"/>
      <c r="D11" s="56"/>
      <c r="E11" s="56"/>
      <c r="F11" s="56"/>
      <c r="G11" s="190" t="s">
        <v>651</v>
      </c>
      <c r="H11" s="190"/>
    </row>
    <row r="12" customFormat="false" ht="24" hidden="false" customHeight="true" outlineLevel="0" collapsed="false">
      <c r="B12" s="8" t="s">
        <v>653</v>
      </c>
      <c r="C12" s="8"/>
      <c r="D12" s="8"/>
      <c r="E12" s="8"/>
      <c r="F12" s="8"/>
      <c r="G12" s="190" t="s">
        <v>654</v>
      </c>
      <c r="H12" s="190"/>
    </row>
    <row r="13" customFormat="false" ht="24" hidden="false" customHeight="true" outlineLevel="0" collapsed="false">
      <c r="B13" s="56" t="s">
        <v>655</v>
      </c>
      <c r="C13" s="56"/>
      <c r="D13" s="56"/>
      <c r="E13" s="56"/>
      <c r="F13" s="56"/>
      <c r="G13" s="190" t="s">
        <v>654</v>
      </c>
      <c r="H13" s="190"/>
    </row>
    <row r="14" customFormat="false" ht="24" hidden="false" customHeight="true" outlineLevel="0" collapsed="false">
      <c r="B14" s="8" t="s">
        <v>656</v>
      </c>
      <c r="C14" s="8"/>
      <c r="D14" s="8"/>
      <c r="E14" s="8"/>
      <c r="F14" s="8"/>
      <c r="G14" s="190" t="s">
        <v>657</v>
      </c>
      <c r="H14" s="190"/>
    </row>
    <row r="15" customFormat="false" ht="24" hidden="false" customHeight="true" outlineLevel="0" collapsed="false">
      <c r="B15" s="56" t="s">
        <v>658</v>
      </c>
      <c r="C15" s="56"/>
      <c r="D15" s="56"/>
      <c r="E15" s="56"/>
      <c r="F15" s="56"/>
      <c r="G15" s="190" t="s">
        <v>497</v>
      </c>
      <c r="H15" s="190"/>
    </row>
    <row r="16" customFormat="false" ht="24" hidden="false" customHeight="true" outlineLevel="0" collapsed="false">
      <c r="B16" s="8" t="s">
        <v>659</v>
      </c>
      <c r="C16" s="8"/>
      <c r="D16" s="8"/>
      <c r="E16" s="8"/>
      <c r="F16" s="8"/>
      <c r="G16" s="190" t="s">
        <v>474</v>
      </c>
      <c r="H16" s="190"/>
    </row>
    <row r="17" customFormat="false" ht="24" hidden="false" customHeight="true" outlineLevel="0" collapsed="false">
      <c r="B17" s="56" t="s">
        <v>660</v>
      </c>
      <c r="C17" s="56"/>
      <c r="D17" s="56"/>
      <c r="E17" s="56"/>
      <c r="F17" s="56"/>
      <c r="G17" s="190" t="s">
        <v>532</v>
      </c>
      <c r="H17" s="190"/>
    </row>
    <row r="18" customFormat="false" ht="24" hidden="false" customHeight="true" outlineLevel="0" collapsed="false">
      <c r="B18" s="8" t="s">
        <v>661</v>
      </c>
      <c r="C18" s="8"/>
      <c r="D18" s="8"/>
      <c r="E18" s="8"/>
      <c r="F18" s="8"/>
      <c r="G18" s="190" t="s">
        <v>514</v>
      </c>
      <c r="H18" s="190"/>
    </row>
    <row r="19" customFormat="false" ht="24" hidden="false" customHeight="true" outlineLevel="0" collapsed="false">
      <c r="B19" s="56" t="s">
        <v>662</v>
      </c>
      <c r="C19" s="56"/>
      <c r="D19" s="56"/>
      <c r="E19" s="56"/>
      <c r="F19" s="56"/>
      <c r="G19" s="190" t="s">
        <v>663</v>
      </c>
      <c r="H19" s="190"/>
    </row>
    <row r="20" customFormat="false" ht="24" hidden="false" customHeight="true" outlineLevel="0" collapsed="false">
      <c r="B20" s="8" t="s">
        <v>664</v>
      </c>
      <c r="C20" s="8"/>
      <c r="D20" s="8"/>
      <c r="E20" s="8"/>
      <c r="F20" s="8"/>
      <c r="G20" s="190" t="s">
        <v>665</v>
      </c>
      <c r="H20" s="190"/>
    </row>
    <row r="21" customFormat="false" ht="24" hidden="false" customHeight="true" outlineLevel="0" collapsed="false">
      <c r="B21" s="56" t="s">
        <v>666</v>
      </c>
      <c r="C21" s="56"/>
      <c r="D21" s="56"/>
      <c r="E21" s="56"/>
      <c r="F21" s="56"/>
      <c r="G21" s="190" t="s">
        <v>667</v>
      </c>
      <c r="H21" s="190"/>
    </row>
    <row r="23" customFormat="false" ht="15" hidden="false" customHeight="true" outlineLevel="0" collapsed="false">
      <c r="B23" s="167" t="s">
        <v>668</v>
      </c>
      <c r="C23" s="167"/>
      <c r="D23" s="167"/>
      <c r="E23" s="167"/>
      <c r="F23" s="167"/>
      <c r="G23" s="167"/>
      <c r="H23" s="167"/>
    </row>
    <row r="24" customFormat="false" ht="19.5" hidden="false" customHeight="true" outlineLevel="0" collapsed="false">
      <c r="B24" s="191" t="s">
        <v>669</v>
      </c>
      <c r="C24" s="191"/>
      <c r="D24" s="191"/>
      <c r="E24" s="191"/>
      <c r="F24" s="191"/>
      <c r="G24" s="191"/>
      <c r="H24" s="191"/>
    </row>
    <row r="25" customFormat="false" ht="19.5" hidden="false" customHeight="true" outlineLevel="0" collapsed="false">
      <c r="B25" s="192" t="s">
        <v>670</v>
      </c>
      <c r="C25" s="192"/>
      <c r="D25" s="192"/>
      <c r="E25" s="192"/>
      <c r="F25" s="192"/>
      <c r="G25" s="192"/>
      <c r="H25" s="192"/>
    </row>
    <row r="26" customFormat="false" ht="19.5" hidden="false" customHeight="true" outlineLevel="0" collapsed="false">
      <c r="B26" s="191" t="s">
        <v>671</v>
      </c>
      <c r="C26" s="191"/>
      <c r="D26" s="191"/>
      <c r="E26" s="191"/>
      <c r="F26" s="191"/>
      <c r="G26" s="191"/>
      <c r="H26" s="191"/>
    </row>
    <row r="27" customFormat="false" ht="19.5" hidden="false" customHeight="true" outlineLevel="0" collapsed="false">
      <c r="B27" s="192" t="s">
        <v>672</v>
      </c>
      <c r="C27" s="192"/>
      <c r="D27" s="192"/>
      <c r="E27" s="192"/>
      <c r="F27" s="192"/>
      <c r="G27" s="192"/>
      <c r="H27" s="192"/>
    </row>
    <row r="28" customFormat="false" ht="19.5" hidden="false" customHeight="true" outlineLevel="0" collapsed="false">
      <c r="B28" s="191" t="s">
        <v>673</v>
      </c>
      <c r="C28" s="191"/>
      <c r="D28" s="191"/>
      <c r="E28" s="191"/>
      <c r="F28" s="191"/>
      <c r="G28" s="191"/>
      <c r="H28" s="191"/>
    </row>
    <row r="29" customFormat="false" ht="19.5" hidden="false" customHeight="true" outlineLevel="0" collapsed="false">
      <c r="B29" s="192" t="s">
        <v>674</v>
      </c>
      <c r="C29" s="192"/>
      <c r="D29" s="192"/>
      <c r="E29" s="192"/>
      <c r="F29" s="192"/>
      <c r="G29" s="192"/>
      <c r="H29" s="192"/>
    </row>
    <row r="30" customFormat="false" ht="19.5" hidden="false" customHeight="true" outlineLevel="0" collapsed="false">
      <c r="B30" s="191" t="s">
        <v>675</v>
      </c>
      <c r="C30" s="191"/>
      <c r="D30" s="191"/>
      <c r="E30" s="191"/>
      <c r="F30" s="191"/>
      <c r="G30" s="191"/>
      <c r="H30" s="191"/>
    </row>
    <row r="31" customFormat="false" ht="19.5" hidden="false" customHeight="true" outlineLevel="0" collapsed="false">
      <c r="B31" s="192" t="s">
        <v>676</v>
      </c>
      <c r="C31" s="192"/>
      <c r="D31" s="192"/>
      <c r="E31" s="192"/>
      <c r="F31" s="192"/>
      <c r="G31" s="192"/>
      <c r="H31" s="192"/>
    </row>
    <row r="32" customFormat="false" ht="19.5" hidden="false" customHeight="true" outlineLevel="0" collapsed="false">
      <c r="B32" s="191" t="s">
        <v>677</v>
      </c>
      <c r="C32" s="191"/>
      <c r="D32" s="191"/>
      <c r="E32" s="191"/>
      <c r="F32" s="191"/>
      <c r="G32" s="191"/>
      <c r="H32" s="191"/>
    </row>
    <row r="33" customFormat="false" ht="19.5" hidden="false" customHeight="true" outlineLevel="0" collapsed="false">
      <c r="B33" s="192" t="s">
        <v>678</v>
      </c>
      <c r="C33" s="192"/>
      <c r="D33" s="192"/>
      <c r="E33" s="192"/>
      <c r="F33" s="192"/>
      <c r="G33" s="192"/>
      <c r="H33" s="192"/>
    </row>
    <row r="34" customFormat="false" ht="19.5" hidden="false" customHeight="true" outlineLevel="0" collapsed="false">
      <c r="B34" s="191" t="s">
        <v>679</v>
      </c>
      <c r="C34" s="191"/>
      <c r="D34" s="191"/>
      <c r="E34" s="191"/>
      <c r="F34" s="191"/>
      <c r="G34" s="191"/>
      <c r="H34" s="191"/>
    </row>
    <row r="36" customFormat="false" ht="15" hidden="false" customHeight="true" outlineLevel="0" collapsed="false">
      <c r="B36" s="167" t="s">
        <v>680</v>
      </c>
      <c r="C36" s="167"/>
      <c r="D36" s="167"/>
      <c r="E36" s="167"/>
      <c r="F36" s="167"/>
      <c r="G36" s="167"/>
      <c r="H36" s="167"/>
    </row>
    <row r="37" customFormat="false" ht="36" hidden="false" customHeight="true" outlineLevel="0" collapsed="false">
      <c r="B37" s="168" t="s">
        <v>681</v>
      </c>
      <c r="C37" s="168" t="s">
        <v>449</v>
      </c>
      <c r="D37" s="168" t="s">
        <v>682</v>
      </c>
      <c r="E37" s="168" t="s">
        <v>683</v>
      </c>
      <c r="F37" s="168" t="s">
        <v>684</v>
      </c>
      <c r="G37" s="168" t="s">
        <v>685</v>
      </c>
      <c r="H37" s="168"/>
    </row>
    <row r="38" customFormat="false" ht="25.5" hidden="false" customHeight="true" outlineLevel="0" collapsed="false">
      <c r="B38" s="193" t="s">
        <v>686</v>
      </c>
      <c r="C38" s="194" t="s">
        <v>642</v>
      </c>
      <c r="D38" s="123" t="s">
        <v>363</v>
      </c>
      <c r="E38" s="123" t="s">
        <v>363</v>
      </c>
      <c r="F38" s="59" t="s">
        <v>687</v>
      </c>
      <c r="G38" s="195" t="s">
        <v>688</v>
      </c>
      <c r="H38" s="195"/>
    </row>
    <row r="39" customFormat="false" ht="25.5" hidden="false" customHeight="true" outlineLevel="0" collapsed="false">
      <c r="B39" s="196" t="s">
        <v>689</v>
      </c>
      <c r="C39" s="179" t="s">
        <v>651</v>
      </c>
      <c r="D39" s="123" t="s">
        <v>363</v>
      </c>
      <c r="E39" s="123" t="s">
        <v>363</v>
      </c>
      <c r="F39" s="59" t="s">
        <v>690</v>
      </c>
      <c r="G39" s="166" t="s">
        <v>691</v>
      </c>
      <c r="H39" s="166"/>
    </row>
    <row r="40" customFormat="false" ht="25.5" hidden="false" customHeight="true" outlineLevel="0" collapsed="false">
      <c r="B40" s="193" t="s">
        <v>692</v>
      </c>
      <c r="C40" s="194" t="s">
        <v>514</v>
      </c>
      <c r="D40" s="123" t="s">
        <v>363</v>
      </c>
      <c r="E40" s="117" t="s">
        <v>351</v>
      </c>
      <c r="F40" s="59" t="s">
        <v>687</v>
      </c>
      <c r="G40" s="195" t="s">
        <v>693</v>
      </c>
      <c r="H40" s="195"/>
    </row>
    <row r="41" customFormat="false" ht="25.5" hidden="false" customHeight="true" outlineLevel="0" collapsed="false">
      <c r="B41" s="196" t="s">
        <v>694</v>
      </c>
      <c r="C41" s="179" t="s">
        <v>403</v>
      </c>
      <c r="D41" s="117" t="s">
        <v>351</v>
      </c>
      <c r="E41" s="123" t="s">
        <v>363</v>
      </c>
      <c r="F41" s="59" t="s">
        <v>695</v>
      </c>
      <c r="G41" s="166" t="s">
        <v>696</v>
      </c>
      <c r="H41" s="166"/>
    </row>
    <row r="42" customFormat="false" ht="25.5" hidden="false" customHeight="true" outlineLevel="0" collapsed="false">
      <c r="B42" s="193" t="s">
        <v>697</v>
      </c>
      <c r="C42" s="194" t="s">
        <v>698</v>
      </c>
      <c r="D42" s="117" t="s">
        <v>351</v>
      </c>
      <c r="E42" s="117" t="s">
        <v>351</v>
      </c>
      <c r="F42" s="59" t="s">
        <v>699</v>
      </c>
      <c r="G42" s="195" t="s">
        <v>700</v>
      </c>
      <c r="H42" s="195"/>
    </row>
    <row r="43" customFormat="false" ht="25.5" hidden="false" customHeight="true" outlineLevel="0" collapsed="false">
      <c r="B43" s="196" t="s">
        <v>701</v>
      </c>
      <c r="C43" s="179" t="s">
        <v>667</v>
      </c>
      <c r="D43" s="117" t="s">
        <v>351</v>
      </c>
      <c r="E43" s="123" t="s">
        <v>363</v>
      </c>
      <c r="F43" s="59" t="s">
        <v>687</v>
      </c>
      <c r="G43" s="166" t="s">
        <v>702</v>
      </c>
      <c r="H43" s="166"/>
    </row>
    <row r="44" customFormat="false" ht="25.5" hidden="false" customHeight="true" outlineLevel="0" collapsed="false">
      <c r="B44" s="193" t="s">
        <v>703</v>
      </c>
      <c r="C44" s="194" t="s">
        <v>704</v>
      </c>
      <c r="D44" s="117" t="s">
        <v>351</v>
      </c>
      <c r="E44" s="117" t="s">
        <v>351</v>
      </c>
      <c r="F44" s="59" t="s">
        <v>705</v>
      </c>
      <c r="G44" s="195" t="s">
        <v>706</v>
      </c>
      <c r="H44" s="195"/>
    </row>
    <row r="45" customFormat="false" ht="25.5" hidden="false" customHeight="true" outlineLevel="0" collapsed="false">
      <c r="B45" s="196" t="s">
        <v>707</v>
      </c>
      <c r="C45" s="179" t="s">
        <v>532</v>
      </c>
      <c r="D45" s="117" t="s">
        <v>351</v>
      </c>
      <c r="E45" s="123" t="s">
        <v>363</v>
      </c>
      <c r="F45" s="59" t="s">
        <v>695</v>
      </c>
      <c r="G45" s="166" t="s">
        <v>708</v>
      </c>
      <c r="H45" s="166"/>
    </row>
    <row r="46" customFormat="false" ht="25.5" hidden="false" customHeight="true" outlineLevel="0" collapsed="false">
      <c r="B46" s="193" t="s">
        <v>709</v>
      </c>
      <c r="C46" s="194" t="s">
        <v>514</v>
      </c>
      <c r="D46" s="106" t="s">
        <v>360</v>
      </c>
      <c r="E46" s="123" t="s">
        <v>363</v>
      </c>
      <c r="F46" s="59" t="s">
        <v>699</v>
      </c>
      <c r="G46" s="195" t="s">
        <v>710</v>
      </c>
      <c r="H46" s="195"/>
    </row>
    <row r="47" customFormat="false" ht="25.5" hidden="false" customHeight="true" outlineLevel="0" collapsed="false">
      <c r="B47" s="196" t="s">
        <v>711</v>
      </c>
      <c r="C47" s="179" t="s">
        <v>403</v>
      </c>
      <c r="D47" s="117" t="s">
        <v>351</v>
      </c>
      <c r="E47" s="117" t="s">
        <v>351</v>
      </c>
      <c r="F47" s="59" t="s">
        <v>687</v>
      </c>
      <c r="G47" s="166" t="s">
        <v>712</v>
      </c>
      <c r="H47" s="166"/>
    </row>
    <row r="48" customFormat="false" ht="25.5" hidden="false" customHeight="true" outlineLevel="0" collapsed="false">
      <c r="B48" s="193" t="s">
        <v>713</v>
      </c>
      <c r="C48" s="194" t="s">
        <v>657</v>
      </c>
      <c r="D48" s="106" t="s">
        <v>360</v>
      </c>
      <c r="E48" s="117" t="s">
        <v>351</v>
      </c>
      <c r="F48" s="59" t="s">
        <v>705</v>
      </c>
      <c r="G48" s="195" t="s">
        <v>714</v>
      </c>
      <c r="H48" s="195"/>
    </row>
    <row r="49" customFormat="false" ht="25.5" hidden="false" customHeight="true" outlineLevel="0" collapsed="false">
      <c r="B49" s="196" t="s">
        <v>715</v>
      </c>
      <c r="C49" s="179" t="s">
        <v>500</v>
      </c>
      <c r="D49" s="117" t="s">
        <v>351</v>
      </c>
      <c r="E49" s="123" t="s">
        <v>363</v>
      </c>
      <c r="F49" s="59" t="s">
        <v>699</v>
      </c>
      <c r="G49" s="166" t="s">
        <v>716</v>
      </c>
      <c r="H49" s="166"/>
    </row>
    <row r="50" customFormat="false" ht="25.5" hidden="false" customHeight="true" outlineLevel="0" collapsed="false">
      <c r="B50" s="193" t="s">
        <v>717</v>
      </c>
      <c r="C50" s="194" t="s">
        <v>667</v>
      </c>
      <c r="D50" s="123" t="s">
        <v>363</v>
      </c>
      <c r="E50" s="123" t="s">
        <v>363</v>
      </c>
      <c r="F50" s="59" t="s">
        <v>718</v>
      </c>
      <c r="G50" s="195" t="s">
        <v>719</v>
      </c>
      <c r="H50" s="195"/>
    </row>
    <row r="51" customFormat="false" ht="25.5" hidden="false" customHeight="true" outlineLevel="0" collapsed="false">
      <c r="B51" s="196" t="s">
        <v>720</v>
      </c>
      <c r="C51" s="179" t="s">
        <v>642</v>
      </c>
      <c r="D51" s="123" t="s">
        <v>363</v>
      </c>
      <c r="E51" s="117" t="s">
        <v>351</v>
      </c>
      <c r="F51" s="59" t="s">
        <v>687</v>
      </c>
      <c r="G51" s="166" t="s">
        <v>721</v>
      </c>
      <c r="H51" s="166"/>
    </row>
  </sheetData>
  <mergeCells count="65">
    <mergeCell ref="B1:H1"/>
    <mergeCell ref="B3:H3"/>
    <mergeCell ref="B4:F4"/>
    <mergeCell ref="G4:H4"/>
    <mergeCell ref="B5:F5"/>
    <mergeCell ref="G5:H5"/>
    <mergeCell ref="B6:F6"/>
    <mergeCell ref="G6:H6"/>
    <mergeCell ref="B7:F7"/>
    <mergeCell ref="G7:H7"/>
    <mergeCell ref="B8:F8"/>
    <mergeCell ref="G8:H8"/>
    <mergeCell ref="B9:F9"/>
    <mergeCell ref="G9:H9"/>
    <mergeCell ref="B10:F10"/>
    <mergeCell ref="G10:H10"/>
    <mergeCell ref="B11:F11"/>
    <mergeCell ref="G11:H11"/>
    <mergeCell ref="B12:F12"/>
    <mergeCell ref="G12:H12"/>
    <mergeCell ref="B13:F13"/>
    <mergeCell ref="G13:H13"/>
    <mergeCell ref="B14:F14"/>
    <mergeCell ref="G14:H14"/>
    <mergeCell ref="B15:F15"/>
    <mergeCell ref="G15:H15"/>
    <mergeCell ref="B16:F16"/>
    <mergeCell ref="G16:H16"/>
    <mergeCell ref="B17:F17"/>
    <mergeCell ref="G17:H17"/>
    <mergeCell ref="B18:F18"/>
    <mergeCell ref="G18:H18"/>
    <mergeCell ref="B19:F19"/>
    <mergeCell ref="G19:H19"/>
    <mergeCell ref="B20:F20"/>
    <mergeCell ref="G20:H20"/>
    <mergeCell ref="B21:F21"/>
    <mergeCell ref="G21:H21"/>
    <mergeCell ref="B23:H23"/>
    <mergeCell ref="B24:H24"/>
    <mergeCell ref="B25:H25"/>
    <mergeCell ref="B26:H26"/>
    <mergeCell ref="B27:H27"/>
    <mergeCell ref="B28:H28"/>
    <mergeCell ref="B29:H29"/>
    <mergeCell ref="B30:H30"/>
    <mergeCell ref="B31:H31"/>
    <mergeCell ref="B32:H32"/>
    <mergeCell ref="B33:H33"/>
    <mergeCell ref="B34:H34"/>
    <mergeCell ref="B36:H36"/>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5" min="3" style="1" width="16"/>
    <col collapsed="false" customWidth="true" hidden="false" outlineLevel="0" max="7" min="6" style="1" width="18"/>
    <col collapsed="false" customWidth="true" hidden="false" outlineLevel="0" max="8" min="8" style="1" width="22"/>
  </cols>
  <sheetData>
    <row r="1" customFormat="false" ht="36" hidden="false" customHeight="true" outlineLevel="0" collapsed="false">
      <c r="B1" s="91" t="s">
        <v>722</v>
      </c>
      <c r="C1" s="91"/>
      <c r="D1" s="91"/>
      <c r="E1" s="91"/>
      <c r="F1" s="91"/>
      <c r="G1" s="91"/>
      <c r="H1" s="91"/>
    </row>
    <row r="3" customFormat="false" ht="15" hidden="false" customHeight="true" outlineLevel="0" collapsed="false">
      <c r="B3" s="167" t="s">
        <v>723</v>
      </c>
      <c r="C3" s="167"/>
      <c r="D3" s="167"/>
      <c r="E3" s="167"/>
      <c r="F3" s="167"/>
      <c r="G3" s="167"/>
      <c r="H3" s="167"/>
    </row>
    <row r="4" customFormat="false" ht="36" hidden="false" customHeight="true" outlineLevel="0" collapsed="false">
      <c r="B4" s="168" t="s">
        <v>229</v>
      </c>
      <c r="C4" s="168" t="s">
        <v>574</v>
      </c>
      <c r="D4" s="168" t="s">
        <v>724</v>
      </c>
      <c r="E4" s="168" t="s">
        <v>725</v>
      </c>
      <c r="F4" s="197" t="s">
        <v>726</v>
      </c>
      <c r="G4" s="197" t="s">
        <v>727</v>
      </c>
      <c r="H4" s="197" t="s">
        <v>728</v>
      </c>
      <c r="I4" s="197" t="s">
        <v>729</v>
      </c>
    </row>
    <row r="5" customFormat="false" ht="21.75" hidden="false" customHeight="true" outlineLevel="0" collapsed="false">
      <c r="B5" s="75" t="s">
        <v>439</v>
      </c>
      <c r="C5" s="169" t="n">
        <v>30</v>
      </c>
      <c r="D5" s="99" t="n">
        <v>2200</v>
      </c>
      <c r="E5" s="99" t="n">
        <v>900</v>
      </c>
      <c r="F5" s="198" t="n">
        <f aca="false">Assumptions!C18/100*D5+Assumptions!C19/100*E5</f>
        <v>1290</v>
      </c>
      <c r="G5" s="198" t="n">
        <f aca="false">C5*Assumptions!C18/100*D5</f>
        <v>19800</v>
      </c>
      <c r="H5" s="198" t="n">
        <f aca="false">C5*Assumptions!C19/100*E5</f>
        <v>18900</v>
      </c>
      <c r="I5" s="198" t="n">
        <f aca="false">G5+H5</f>
        <v>38700</v>
      </c>
    </row>
    <row r="6" customFormat="false" ht="21.75" hidden="false" customHeight="true" outlineLevel="0" collapsed="false">
      <c r="B6" s="76" t="s">
        <v>238</v>
      </c>
      <c r="C6" s="169" t="n">
        <v>80</v>
      </c>
      <c r="D6" s="99" t="n">
        <v>1800</v>
      </c>
      <c r="E6" s="99" t="n">
        <v>750</v>
      </c>
      <c r="F6" s="198" t="n">
        <f aca="false">Assumptions!C18/100*D6+Assumptions!C19/100*E6</f>
        <v>1065</v>
      </c>
      <c r="G6" s="198" t="n">
        <f aca="false">C6*Assumptions!C18/100*D6</f>
        <v>43200</v>
      </c>
      <c r="H6" s="198" t="n">
        <f aca="false">C6*Assumptions!C19/100*E6</f>
        <v>42000</v>
      </c>
      <c r="I6" s="198" t="n">
        <f aca="false">G6+H6</f>
        <v>85200</v>
      </c>
    </row>
    <row r="7" customFormat="false" ht="21.75" hidden="false" customHeight="true" outlineLevel="0" collapsed="false">
      <c r="B7" s="75" t="s">
        <v>594</v>
      </c>
      <c r="C7" s="169" t="n">
        <v>150</v>
      </c>
      <c r="D7" s="99" t="n">
        <v>1500</v>
      </c>
      <c r="E7" s="99" t="n">
        <v>600</v>
      </c>
      <c r="F7" s="198" t="n">
        <f aca="false">Assumptions!C18/100*D7+Assumptions!C19/100*E7</f>
        <v>870</v>
      </c>
      <c r="G7" s="198" t="n">
        <f aca="false">C7*Assumptions!C18/100*D7</f>
        <v>67500</v>
      </c>
      <c r="H7" s="198" t="n">
        <f aca="false">C7*Assumptions!C19/100*E7</f>
        <v>63000</v>
      </c>
      <c r="I7" s="198" t="n">
        <f aca="false">G7+H7</f>
        <v>130500</v>
      </c>
    </row>
    <row r="8" customFormat="false" ht="21.75" hidden="false" customHeight="true" outlineLevel="0" collapsed="false">
      <c r="B8" s="76" t="s">
        <v>596</v>
      </c>
      <c r="C8" s="169" t="n">
        <v>160</v>
      </c>
      <c r="D8" s="99" t="n">
        <v>1500</v>
      </c>
      <c r="E8" s="99" t="n">
        <v>600</v>
      </c>
      <c r="F8" s="198" t="n">
        <f aca="false">Assumptions!C18/100*D8+Assumptions!C19/100*E8</f>
        <v>870</v>
      </c>
      <c r="G8" s="198" t="n">
        <f aca="false">C8*Assumptions!C18/100*D8</f>
        <v>72000</v>
      </c>
      <c r="H8" s="198" t="n">
        <f aca="false">C8*Assumptions!C19/100*E8</f>
        <v>67200</v>
      </c>
      <c r="I8" s="198" t="n">
        <f aca="false">G8+H8</f>
        <v>139200</v>
      </c>
    </row>
    <row r="9" customFormat="false" ht="21.75" hidden="false" customHeight="true" outlineLevel="0" collapsed="false">
      <c r="B9" s="75" t="s">
        <v>598</v>
      </c>
      <c r="C9" s="169" t="n">
        <v>140</v>
      </c>
      <c r="D9" s="99" t="n">
        <v>1500</v>
      </c>
      <c r="E9" s="99" t="n">
        <v>600</v>
      </c>
      <c r="F9" s="198" t="n">
        <f aca="false">Assumptions!C18/100*D9+Assumptions!C19/100*E9</f>
        <v>870</v>
      </c>
      <c r="G9" s="198" t="n">
        <f aca="false">C9*Assumptions!C18/100*D9</f>
        <v>63000</v>
      </c>
      <c r="H9" s="198" t="n">
        <f aca="false">C9*Assumptions!C19/100*E9</f>
        <v>58800</v>
      </c>
      <c r="I9" s="198" t="n">
        <f aca="false">G9+H9</f>
        <v>121800</v>
      </c>
    </row>
    <row r="10" customFormat="false" ht="21.75" hidden="false" customHeight="true" outlineLevel="0" collapsed="false">
      <c r="B10" s="76" t="s">
        <v>730</v>
      </c>
      <c r="C10" s="169" t="n">
        <v>120</v>
      </c>
      <c r="D10" s="99" t="n">
        <v>1600</v>
      </c>
      <c r="E10" s="99" t="n">
        <v>650</v>
      </c>
      <c r="F10" s="198" t="n">
        <f aca="false">Assumptions!C18/100*D10+Assumptions!C19/100*E10</f>
        <v>935</v>
      </c>
      <c r="G10" s="198" t="n">
        <f aca="false">C10*Assumptions!C18/100*D10</f>
        <v>57600</v>
      </c>
      <c r="H10" s="198" t="n">
        <f aca="false">C10*Assumptions!C19/100*E10</f>
        <v>54600</v>
      </c>
      <c r="I10" s="198" t="n">
        <f aca="false">G10+H10</f>
        <v>112200</v>
      </c>
    </row>
    <row r="11" customFormat="false" ht="21.75" hidden="false" customHeight="true" outlineLevel="0" collapsed="false">
      <c r="B11" s="75" t="s">
        <v>635</v>
      </c>
      <c r="C11" s="169" t="n">
        <v>350</v>
      </c>
      <c r="D11" s="99" t="n">
        <v>1200</v>
      </c>
      <c r="E11" s="198" t="n">
        <v>480</v>
      </c>
      <c r="F11" s="198" t="n">
        <f aca="false">Assumptions!C18/100*D11+Assumptions!C19/100*E11</f>
        <v>696</v>
      </c>
      <c r="G11" s="198" t="n">
        <f aca="false">C11*Assumptions!C18/100*D11</f>
        <v>126000</v>
      </c>
      <c r="H11" s="198" t="n">
        <f aca="false">C11*Assumptions!C19/100*E11</f>
        <v>117600</v>
      </c>
      <c r="I11" s="198" t="n">
        <f aca="false">G11+H11</f>
        <v>243600</v>
      </c>
    </row>
    <row r="12" customFormat="false" ht="21.75" hidden="false" customHeight="true" outlineLevel="0" collapsed="false">
      <c r="B12" s="76" t="s">
        <v>636</v>
      </c>
      <c r="C12" s="169" t="n">
        <v>200</v>
      </c>
      <c r="D12" s="99" t="n">
        <v>950</v>
      </c>
      <c r="E12" s="99" t="n">
        <v>380</v>
      </c>
      <c r="F12" s="198" t="n">
        <f aca="false">Assumptions!C18/100*D12+Assumptions!C19/100*E12</f>
        <v>551</v>
      </c>
      <c r="G12" s="198" t="n">
        <f aca="false">C12*Assumptions!C18/100*D12</f>
        <v>57000</v>
      </c>
      <c r="H12" s="198" t="n">
        <f aca="false">C12*Assumptions!C19/100*E12</f>
        <v>53200</v>
      </c>
      <c r="I12" s="198" t="n">
        <f aca="false">G12+H12</f>
        <v>110200</v>
      </c>
    </row>
    <row r="13" customFormat="false" ht="21.75" hidden="false" customHeight="true" outlineLevel="0" collapsed="false">
      <c r="B13" s="75" t="s">
        <v>253</v>
      </c>
      <c r="C13" s="169" t="n">
        <v>100</v>
      </c>
      <c r="D13" s="99" t="n">
        <v>1100</v>
      </c>
      <c r="E13" s="99" t="n">
        <v>440</v>
      </c>
      <c r="F13" s="198" t="n">
        <f aca="false">Assumptions!C18/100*D13+Assumptions!C19/100*E13</f>
        <v>638</v>
      </c>
      <c r="G13" s="198" t="n">
        <f aca="false">C13*Assumptions!C18/100*D13</f>
        <v>33000</v>
      </c>
      <c r="H13" s="198" t="n">
        <f aca="false">C13*Assumptions!C19/100*E13</f>
        <v>30800</v>
      </c>
      <c r="I13" s="198" t="n">
        <f aca="false">G13+H13</f>
        <v>63800</v>
      </c>
    </row>
    <row r="14" customFormat="false" ht="21.75" hidden="false" customHeight="true" outlineLevel="0" collapsed="false">
      <c r="B14" s="76" t="s">
        <v>637</v>
      </c>
      <c r="C14" s="169" t="n">
        <v>80</v>
      </c>
      <c r="D14" s="99" t="n">
        <v>1300</v>
      </c>
      <c r="E14" s="99" t="n">
        <v>520</v>
      </c>
      <c r="F14" s="198" t="n">
        <f aca="false">Assumptions!C18/100*D14+Assumptions!C19/100*E14</f>
        <v>754</v>
      </c>
      <c r="G14" s="198" t="n">
        <f aca="false">C14*Assumptions!C18/100*D14</f>
        <v>31200</v>
      </c>
      <c r="H14" s="198" t="n">
        <f aca="false">C14*Assumptions!C19/100*E14</f>
        <v>29120</v>
      </c>
      <c r="I14" s="198" t="n">
        <f aca="false">G14+H14</f>
        <v>60320</v>
      </c>
    </row>
    <row r="15" customFormat="false" ht="21.75" hidden="false" customHeight="true" outlineLevel="0" collapsed="false">
      <c r="B15" s="75" t="s">
        <v>424</v>
      </c>
      <c r="C15" s="169" t="n">
        <v>90</v>
      </c>
      <c r="D15" s="99" t="n">
        <v>1000</v>
      </c>
      <c r="E15" s="99" t="n">
        <v>400</v>
      </c>
      <c r="F15" s="198" t="n">
        <f aca="false">Assumptions!C18/100*D15+Assumptions!C19/100*E15</f>
        <v>580</v>
      </c>
      <c r="G15" s="198" t="n">
        <f aca="false">C15*Assumptions!C18/100*D15</f>
        <v>27000</v>
      </c>
      <c r="H15" s="198" t="n">
        <f aca="false">C15*Assumptions!C19/100*E15</f>
        <v>25200</v>
      </c>
      <c r="I15" s="198" t="n">
        <f aca="false">G15+H15</f>
        <v>52200</v>
      </c>
    </row>
    <row r="16" customFormat="false" ht="21.75" hidden="false" customHeight="true" outlineLevel="0" collapsed="false">
      <c r="B16" s="76" t="s">
        <v>443</v>
      </c>
      <c r="C16" s="169" t="n">
        <v>50</v>
      </c>
      <c r="D16" s="99" t="n">
        <v>1100</v>
      </c>
      <c r="E16" s="99" t="n">
        <v>450</v>
      </c>
      <c r="F16" s="198" t="n">
        <f aca="false">Assumptions!C18/100*D16+Assumptions!C19/100*E16</f>
        <v>645</v>
      </c>
      <c r="G16" s="198" t="n">
        <f aca="false">C16*Assumptions!C18/100*D16</f>
        <v>16500</v>
      </c>
      <c r="H16" s="198" t="n">
        <f aca="false">C16*Assumptions!C19/100*E16</f>
        <v>15750</v>
      </c>
      <c r="I16" s="198" t="n">
        <f aca="false">G16+H16</f>
        <v>32250</v>
      </c>
    </row>
    <row r="17" customFormat="false" ht="21.75" hidden="false" customHeight="true" outlineLevel="0" collapsed="false">
      <c r="B17" s="75" t="s">
        <v>259</v>
      </c>
      <c r="C17" s="169" t="n">
        <v>90</v>
      </c>
      <c r="D17" s="99" t="n">
        <v>1400</v>
      </c>
      <c r="E17" s="99" t="n">
        <v>560</v>
      </c>
      <c r="F17" s="198" t="n">
        <f aca="false">Assumptions!C18/100*D17+Assumptions!C19/100*E17</f>
        <v>812</v>
      </c>
      <c r="G17" s="198" t="n">
        <f aca="false">C17*Assumptions!C18/100*D17</f>
        <v>37800</v>
      </c>
      <c r="H17" s="198" t="n">
        <f aca="false">C17*Assumptions!C19/100*E17</f>
        <v>35280</v>
      </c>
      <c r="I17" s="198" t="n">
        <f aca="false">G17+H17</f>
        <v>73080</v>
      </c>
    </row>
    <row r="19" customFormat="false" ht="25.5" hidden="false" customHeight="true" outlineLevel="0" collapsed="false">
      <c r="B19" s="199" t="s">
        <v>731</v>
      </c>
      <c r="C19" s="199"/>
      <c r="D19" s="199"/>
      <c r="E19" s="199"/>
      <c r="F19" s="199"/>
      <c r="G19" s="199"/>
      <c r="H19" s="199"/>
      <c r="I19" s="200" t="n">
        <f aca="false">SUM(I5:I17)</f>
        <v>1263050</v>
      </c>
    </row>
    <row r="20" customFormat="false" ht="25.5" hidden="false" customHeight="true" outlineLevel="0" collapsed="false">
      <c r="B20" s="201" t="s">
        <v>732</v>
      </c>
      <c r="C20" s="201"/>
      <c r="D20" s="201"/>
      <c r="E20" s="201"/>
      <c r="F20" s="201"/>
      <c r="G20" s="201"/>
      <c r="H20" s="201"/>
      <c r="I20" s="202" t="n">
        <f aca="false">I19*Assumptions!C14/100</f>
        <v>189457.5</v>
      </c>
    </row>
    <row r="21" customFormat="false" ht="25.5" hidden="false" customHeight="true" outlineLevel="0" collapsed="false">
      <c r="B21" s="199" t="s">
        <v>733</v>
      </c>
      <c r="C21" s="199"/>
      <c r="D21" s="199"/>
      <c r="E21" s="199"/>
      <c r="F21" s="199"/>
      <c r="G21" s="199"/>
      <c r="H21" s="199"/>
      <c r="I21" s="200" t="n">
        <f aca="false">I19+I20</f>
        <v>1452507.5</v>
      </c>
    </row>
    <row r="22" customFormat="false" ht="25.5" hidden="false" customHeight="true" outlineLevel="0" collapsed="false">
      <c r="B22" s="203" t="s">
        <v>734</v>
      </c>
      <c r="C22" s="203"/>
      <c r="D22" s="203"/>
      <c r="E22" s="203"/>
      <c r="F22" s="203"/>
      <c r="G22" s="203"/>
      <c r="H22" s="203"/>
      <c r="I22" s="204" t="n">
        <f aca="false">I21*Assumptions!C15/100</f>
        <v>72625.375</v>
      </c>
    </row>
    <row r="24" customFormat="false" ht="15" hidden="false" customHeight="true" outlineLevel="0" collapsed="false">
      <c r="B24" s="167" t="s">
        <v>735</v>
      </c>
      <c r="C24" s="167"/>
      <c r="D24" s="167"/>
      <c r="E24" s="167"/>
      <c r="F24" s="167"/>
      <c r="G24" s="167"/>
      <c r="H24" s="167"/>
    </row>
    <row r="25" customFormat="false" ht="15" hidden="false" customHeight="true" outlineLevel="0" collapsed="false">
      <c r="B25" s="6" t="s">
        <v>288</v>
      </c>
      <c r="C25" s="6" t="s">
        <v>289</v>
      </c>
      <c r="D25" s="6" t="s">
        <v>736</v>
      </c>
      <c r="E25" s="6" t="s">
        <v>567</v>
      </c>
      <c r="F25" s="6"/>
      <c r="G25" s="6"/>
      <c r="H25" s="6"/>
      <c r="I25" s="6"/>
    </row>
    <row r="26" customFormat="false" ht="19.5" hidden="false" customHeight="true" outlineLevel="0" collapsed="false">
      <c r="B26" s="129" t="s">
        <v>578</v>
      </c>
      <c r="C26" s="130" t="n">
        <v>0.05</v>
      </c>
      <c r="D26" s="205" t="n">
        <f aca="false">C26*I21</f>
        <v>72625.375</v>
      </c>
    </row>
    <row r="27" customFormat="false" ht="19.5" hidden="false" customHeight="true" outlineLevel="0" collapsed="false">
      <c r="B27" s="133" t="s">
        <v>579</v>
      </c>
      <c r="C27" s="130" t="n">
        <v>0.12</v>
      </c>
      <c r="D27" s="205" t="n">
        <f aca="false">C27*I21</f>
        <v>174300.9</v>
      </c>
    </row>
    <row r="28" customFormat="false" ht="19.5" hidden="false" customHeight="true" outlineLevel="0" collapsed="false">
      <c r="B28" s="129" t="s">
        <v>580</v>
      </c>
      <c r="C28" s="130" t="n">
        <v>0.18</v>
      </c>
      <c r="D28" s="205" t="n">
        <f aca="false">C28*I21</f>
        <v>261451.35</v>
      </c>
    </row>
    <row r="29" customFormat="false" ht="19.5" hidden="false" customHeight="true" outlineLevel="0" collapsed="false">
      <c r="B29" s="133" t="s">
        <v>301</v>
      </c>
      <c r="C29" s="130" t="n">
        <v>0.28</v>
      </c>
      <c r="D29" s="205" t="n">
        <f aca="false">C29*I21</f>
        <v>406702.1</v>
      </c>
    </row>
    <row r="30" customFormat="false" ht="19.5" hidden="false" customHeight="true" outlineLevel="0" collapsed="false">
      <c r="B30" s="129" t="s">
        <v>304</v>
      </c>
      <c r="C30" s="130" t="n">
        <v>0.17</v>
      </c>
      <c r="D30" s="205" t="n">
        <f aca="false">C30*I21</f>
        <v>246926.275</v>
      </c>
    </row>
    <row r="31" customFormat="false" ht="19.5" hidden="false" customHeight="true" outlineLevel="0" collapsed="false">
      <c r="B31" s="133" t="s">
        <v>307</v>
      </c>
      <c r="C31" s="130" t="n">
        <v>0.08</v>
      </c>
      <c r="D31" s="205" t="n">
        <f aca="false">C31*I21</f>
        <v>116200.6</v>
      </c>
    </row>
    <row r="32" customFormat="false" ht="19.5" hidden="false" customHeight="true" outlineLevel="0" collapsed="false">
      <c r="B32" s="129" t="s">
        <v>309</v>
      </c>
      <c r="C32" s="130" t="n">
        <v>0.06</v>
      </c>
      <c r="D32" s="205" t="n">
        <f aca="false">C32*I21</f>
        <v>87150.45</v>
      </c>
    </row>
    <row r="33" customFormat="false" ht="19.5" hidden="false" customHeight="true" outlineLevel="0" collapsed="false">
      <c r="B33" s="133" t="s">
        <v>581</v>
      </c>
      <c r="C33" s="130" t="n">
        <v>0.03</v>
      </c>
      <c r="D33" s="205" t="n">
        <f aca="false">C33*I21</f>
        <v>43575.225</v>
      </c>
    </row>
    <row r="34" customFormat="false" ht="19.5" hidden="false" customHeight="true" outlineLevel="0" collapsed="false">
      <c r="B34" s="129" t="s">
        <v>314</v>
      </c>
      <c r="C34" s="130" t="n">
        <v>0.03</v>
      </c>
      <c r="D34" s="205" t="n">
        <f aca="false">C34*I21</f>
        <v>43575.225</v>
      </c>
    </row>
  </sheetData>
  <mergeCells count="7">
    <mergeCell ref="B1:H1"/>
    <mergeCell ref="B3:H3"/>
    <mergeCell ref="B19:H19"/>
    <mergeCell ref="B20:H20"/>
    <mergeCell ref="B21:H21"/>
    <mergeCell ref="B22:H22"/>
    <mergeCell ref="B24:H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2026-07-14T15:19:01Z</dcterms:created>
  <dc:creator>openpyxl</dc:creator>
  <dc:description/>
  <dc:language>en-US</dc:language>
  <cp:lastModifiedBy/>
  <dcterms:modified xsi:type="dcterms:W3CDTF">2026-07-15T03:04:42Z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